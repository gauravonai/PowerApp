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Parts" sheetId="2" state="visible" r:id="rId2"/>
    <sheet name="Movements" sheetId="3" state="visible" r:id="rId3"/>
    <sheet name="LiveStock" sheetId="4" state="visible" r:id="rId4"/>
    <sheet name="Users" sheetId="5" state="visible" r:id="rId5"/>
    <sheet name="Settings" sheetId="6" state="visible" r:id="rId6"/>
    <sheet name="Procurement" sheetId="7" state="visible" r:id="rId7"/>
    <sheet name="Licenses" sheetId="8" state="visible" r:id="rId8"/>
    <sheet name="NewPartRequest" sheetId="9" state="visible" r:id="rId9"/>
    <sheet name="Invoice" sheetId="10" state="visible" r:id="rId10"/>
    <sheet name="OngoingPurchase" sheetId="11" state="visible" r:id="rId11"/>
    <sheet name="Calibration" sheetId="12" state="visible" r:id="rId12"/>
    <sheet name="Requests" sheetId="13" state="visible" r:id="rId13"/>
    <sheet name="RequestLines" sheetId="14" state="visible" r:id="rId14"/>
    <sheet name="POWER APP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#,##0.###"/>
    <numFmt numFmtId="166" formatCode="yyyy-mm-dd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color rgb="FF595959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9C0006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/>
    </xf>
    <xf numFmtId="164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center"/>
    </xf>
    <xf numFmtId="164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11" fillId="5" borderId="0" pivotButton="0" quotePrefix="0" xfId="0"/>
    <xf numFmtId="0" fontId="11" fillId="5" borderId="0" applyAlignment="1" pivotButton="0" quotePrefix="0" xfId="0">
      <alignment vertical="center"/>
    </xf>
    <xf numFmtId="166" fontId="0" fillId="0" borderId="0" pivotButton="0" quotePrefix="0" xfId="0"/>
    <xf numFmtId="166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Author</author>
  </authors>
  <commentList>
    <comment ref="C2" authorId="0" shapeId="0">
      <text>
        <t>RECEIPT / RETURN / ADJUST+ add stock.
ISSUE / SCRAP / ADJUST- take stock away.
Always enter Qty as a positive number.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1" authorId="0" shapeId="0">
      <text>
        <t>Calculated from the Movements tab. Do not type in this column.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Username must match the Windows login name exactly.
Change Role to change what a person sees in the portal.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M1" authorId="0" shapeId="0">
      <text>
        <t>Move a PR/PO through: PR RAISED -&gt; APPROVED -&gt; PO RAISED -&gt; GRN IN PROGRESS -&gt; DELIVERED (CLOSED).
You can type here, or use the portal's Procurement screen buttons.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F1" authorId="0" shapeId="0">
      <text>
        <t>Portal marks a licence Expiring Soon inside 45 days, Expired after this date.</t>
      </text>
    </comment>
  </commentList>
</comments>
</file>

<file path=xl/tables/table1.xml><?xml version="1.0" encoding="utf-8"?>
<table xmlns="http://schemas.openxmlformats.org/spreadsheetml/2006/main" id="1" name="tblParts" displayName="tblParts" ref="A1:K419" headerRowCount="1" totalsRowCount="0" totalsRowShown="0">
  <autoFilter ref="A1:K419"/>
  <tableColumns count="11">
    <tableColumn id="1" name="PartNo"/>
    <tableColumn id="2" name="Description"/>
    <tableColumn id="3" name="Category"/>
    <tableColumn id="4" name="SubCategory"/>
    <tableColumn id="5" name="UOM"/>
    <tableColumn id="6" name="Location"/>
    <tableColumn id="7" name="Supplier"/>
    <tableColumn id="8" name="UnitCost"/>
    <tableColumn id="9" name="ReorderRefQty"/>
    <tableColumn id="10" name="Active"/>
    <tableColumn id="11" name="Notes"/>
  </tableColumns>
</table>
</file>

<file path=xl/tables/table2.xml><?xml version="1.0" encoding="utf-8"?>
<table xmlns="http://schemas.openxmlformats.org/spreadsheetml/2006/main" id="2" name="tblMoves" displayName="tblMoves" ref="A1:I776" headerRowCount="1" totalsRowCount="0" totalsRowShown="0">
  <autoFilter ref="A1:H776"/>
  <tableColumns count="9">
    <tableColumn id="1" name="Date"/>
    <tableColumn id="2" name="PartNo"/>
    <tableColumn id="3" name="Type"/>
    <tableColumn id="4" name="Qty"/>
    <tableColumn id="5" name="Reference"/>
    <tableColumn id="6" name="UnitCost"/>
    <tableColumn id="7" name="By"/>
    <tableColumn id="8" name="Reason"/>
    <tableColumn id="9" name="EntryId"/>
  </tableColumns>
</table>
</file>

<file path=xl/tables/table3.xml><?xml version="1.0" encoding="utf-8"?>
<table xmlns="http://schemas.openxmlformats.org/spreadsheetml/2006/main" id="3" name="tblUsers" displayName="tblUsers" ref="A1:G98" headerRowCount="1" totalsRowCount="0" totalsRowShown="0">
  <autoFilter ref="A1:G98"/>
  <tableColumns count="7">
    <tableColumn id="1" name="Username"/>
    <tableColumn id="2" name="FullName"/>
    <tableColumn id="3" name="Role"/>
    <tableColumn id="4" name="BusinessUnit"/>
    <tableColumn id="5" name="Password"/>
    <tableColumn id="6" name="PasswordSetOn"/>
    <tableColumn id="7" name="Email"/>
  </tableColumns>
</table>
</file>

<file path=xl/tables/table4.xml><?xml version="1.0" encoding="utf-8"?>
<table xmlns="http://schemas.openxmlformats.org/spreadsheetml/2006/main" id="4" name="tblSettings" displayName="tblSettings" ref="A1:C15" headerRowCount="1" totalsRowCount="0" totalsRowShown="0">
  <autoFilter ref="A1:C15"/>
  <tableColumns count="3">
    <tableColumn id="1" name="Key"/>
    <tableColumn id="2" name="Value"/>
    <tableColumn id="3" name="Notes"/>
  </tableColumns>
</table>
</file>

<file path=xl/tables/table5.xml><?xml version="1.0" encoding="utf-8"?>
<table xmlns="http://schemas.openxmlformats.org/spreadsheetml/2006/main" id="5" name="tblProc" displayName="tblProc" ref="A1:U7" headerRowCount="1" totalsRowCount="0" totalsRowShown="0">
  <autoFilter ref="A1:U7"/>
  <tableColumns count="21">
    <tableColumn id="1" name="PRNumber"/>
    <tableColumn id="2" name="Department"/>
    <tableColumn id="3" name="Summary"/>
    <tableColumn id="4" name="ServiceType"/>
    <tableColumn id="5" name="Qty"/>
    <tableColumn id="6" name="DateRaised"/>
    <tableColumn id="7" name="RaisedBy"/>
    <tableColumn id="8" name="ApprovedBy"/>
    <tableColumn id="9" name="ApprovedDate"/>
    <tableColumn id="10" name="PONumber"/>
    <tableColumn id="11" name="Vendor"/>
    <tableColumn id="12" name="POAmount"/>
    <tableColumn id="13" name="Stage"/>
    <tableColumn id="14" name="PODate"/>
    <tableColumn id="15" name="DeliveredDate"/>
    <tableColumn id="16" name="Notes"/>
    <tableColumn id="17" name="PRAmount"/>
    <tableColumn id="18" name="InvestmentType"/>
    <tableColumn id="19" name="POApprovedDate"/>
    <tableColumn id="20" name="Ownership"/>
    <tableColumn id="21" name="POCopyPath"/>
  </tableColumns>
</table>
</file>

<file path=xl/tables/table6.xml><?xml version="1.0" encoding="utf-8"?>
<table xmlns="http://schemas.openxmlformats.org/spreadsheetml/2006/main" id="6" name="tblLicenses" displayName="tblLicenses" ref="A1:I4" headerRowCount="1" totalsRowCount="0" totalsRowShown="0">
  <autoFilter ref="A1:I4"/>
  <tableColumns count="9">
    <tableColumn id="1" name="SoftwareName"/>
    <tableColumn id="2" name="Vendor"/>
    <tableColumn id="3" name="LicenseType"/>
    <tableColumn id="4" name="SeatsTotal"/>
    <tableColumn id="5" name="SeatsInUse"/>
    <tableColumn id="6" name="ExpiryDate"/>
    <tableColumn id="7" name="AnnualCost"/>
    <tableColumn id="8" name="Status"/>
    <tableColumn id="9" name="Notes"/>
  </tableColumns>
</table>
</file>

<file path=xl/tables/table7.xml><?xml version="1.0" encoding="utf-8"?>
<table xmlns="http://schemas.openxmlformats.org/spreadsheetml/2006/main" id="7" name="tblNewPart" displayName="tblNewPart" ref="A1:O2" headerRowCount="1">
  <autoFilter ref="A1:O2"/>
  <tableColumns count="15">
    <tableColumn id="1" name="SrNo"/>
    <tableColumn id="2" name="RequestNo"/>
    <tableColumn id="3" name="RequesterName"/>
    <tableColumn id="4" name="Category"/>
    <tableColumn id="5" name="SubCategory"/>
    <tableColumn id="6" name="PlantCode"/>
    <tableColumn id="7" name="PartName"/>
    <tableColumn id="8" name="MakeBrand"/>
    <tableColumn id="9" name="ModelNo"/>
    <tableColumn id="10" name="OtherSpecs"/>
    <tableColumn id="11" name="Remarks"/>
    <tableColumn id="12" name="UOM"/>
    <tableColumn id="13" name="HSNCode"/>
    <tableColumn id="14" name="Status"/>
    <tableColumn id="15" name="DateRaised"/>
  </tableColumns>
  <tableStyleInfo name="TableStyleMedium2" showRowStripes="1"/>
</table>
</file>

<file path=xl/tables/table8.xml><?xml version="1.0" encoding="utf-8"?>
<table xmlns="http://schemas.openxmlformats.org/spreadsheetml/2006/main" id="8" name="tblInvoice" displayName="tblInvoice" ref="A1:AB2" headerRowCount="1">
  <autoFilter ref="A1:AB2"/>
  <tableColumns count="28">
    <tableColumn id="1" name="InvoiceNo"/>
    <tableColumn id="2" name="InvoiceDate"/>
    <tableColumn id="3" name="ToName"/>
    <tableColumn id="4" name="CCName"/>
    <tableColumn id="5" name="FromName"/>
    <tableColumn id="6" name="FromExt"/>
    <tableColumn id="7" name="FromMobile"/>
    <tableColumn id="8" name="HarnessPartNos"/>
    <tableColumn id="9" name="JobDescription"/>
    <tableColumn id="10" name="BusinessUnit"/>
    <tableColumn id="11" name="BUContact"/>
    <tableColumn id="12" name="CostCentre"/>
    <tableColumn id="13" name="ApplicationDesc"/>
    <tableColumn id="14" name="DetailsOfRequest"/>
    <tableColumn id="15" name="NoOfCircuits"/>
    <tableColumn id="16" name="DCContact"/>
    <tableColumn id="17" name="DCMobile"/>
    <tableColumn id="18" name="JobReceived"/>
    <tableColumn id="19" name="StartDate"/>
    <tableColumn id="20" name="CompletionDate"/>
    <tableColumn id="21" name="MaterialCost"/>
    <tableColumn id="22" name="AssemblyCost"/>
    <tableColumn id="23" name="TransportCost"/>
    <tableColumn id="24" name="TotalCost"/>
    <tableColumn id="25" name="RefRequest"/>
    <tableColumn id="26" name="ImagePath"/>
    <tableColumn id="27" name="Status"/>
    <tableColumn id="28" name="Notes"/>
  </tableColumns>
  <tableStyleInfo name="TableStyleMedium2" showRowStripes="1"/>
</table>
</file>

<file path=xl/tables/table9.xml><?xml version="1.0" encoding="utf-8"?>
<table xmlns="http://schemas.openxmlformats.org/spreadsheetml/2006/main" id="9" name="tblPurch" displayName="tblPurch" ref="A1:M2" headerRowCount="1">
  <autoFilter ref="A1:M2"/>
  <tableColumns count="13">
    <tableColumn id="1" name="PartNo"/>
    <tableColumn id="2" name="Description"/>
    <tableColumn id="3" name="QtyRequired"/>
    <tableColumn id="4" name="QtyConfirmed"/>
    <tableColumn id="5" name="RequestNo"/>
    <tableColumn id="6" name="RaisedBy"/>
    <tableColumn id="7" name="PRNumber"/>
    <tableColumn id="8" name="SupplierNo"/>
    <tableColumn id="9" name="SupplierName"/>
    <tableColumn id="10" name="Stage"/>
    <tableColumn id="11" name="DateRaised"/>
    <tableColumn id="12" name="ExpectedDate"/>
    <tableColumn id="13" name="Notes"/>
  </tableColumns>
  <tableStyleInfo name="TableStyleMedium2" showRowStripes="1"/>
</table>
</file>

<file path=xl/tables/table10.xml><?xml version="1.0" encoding="utf-8"?>
<table xmlns="http://schemas.openxmlformats.org/spreadsheetml/2006/main" id="10" name="tblCalib" displayName="tblCalib" ref="A1:I2" headerRowCount="1">
  <autoFilter ref="A1:I2"/>
  <tableColumns count="9">
    <tableColumn id="1" name="AssetNo"/>
    <tableColumn id="2" name="AssetName"/>
    <tableColumn id="3" name="Location"/>
    <tableColumn id="4" name="LastCalDate"/>
    <tableColumn id="5" name="IntervalMonths"/>
    <tableColumn id="6" name="DueDate"/>
    <tableColumn id="7" name="Owner"/>
    <tableColumn id="8" name="Status"/>
    <tableColumn id="9" name="Notes"/>
  </tableColumns>
  <tableStyleInfo name="TableStyleMedium2" showRowStripes="1"/>
</table>
</file>

<file path=xl/tables/table11.xml><?xml version="1.0" encoding="utf-8"?>
<table xmlns="http://schemas.openxmlformats.org/spreadsheetml/2006/main" id="11" name="tblRequests" displayName="tblRequests" ref="A1:U2" headerRowCount="1">
  <autoFilter ref="A1:T2"/>
  <tableColumns count="21">
    <tableColumn id="1" name="RequestNo"/>
    <tableColumn id="2" name="Kind"/>
    <tableColumn id="3" name="Status"/>
    <tableColumn id="4" name="RaisedByEmail"/>
    <tableColumn id="5" name="RaisedByName"/>
    <tableColumn id="6" name="DateRaised"/>
    <tableColumn id="7" name="Machine"/>
    <tableColumn id="8" name="ProjectCode"/>
    <tableColumn id="9" name="HarnessPartNo"/>
    <tableColumn id="10" name="BuildStage"/>
    <tableColumn id="11" name="BusinessUnit"/>
    <tableColumn id="12" name="CostCentre"/>
    <tableColumn id="13" name="BUContact"/>
    <tableColumn id="14" name="DCContact"/>
    <tableColumn id="15" name="NoOfCircuits"/>
    <tableColumn id="16" name="RequiredBy"/>
    <tableColumn id="17" name="ScopeOfWork"/>
    <tableColumn id="18" name="ParentRequest"/>
    <tableColumn id="19" name="LastUpdated"/>
    <tableColumn id="20" name="LastUpdatedBy"/>
    <tableColumn id="21" name="History"/>
  </tableColumns>
  <tableStyleInfo name="TableStyleMedium2" showRowStripes="1"/>
</table>
</file>

<file path=xl/tables/table12.xml><?xml version="1.0" encoding="utf-8"?>
<table xmlns="http://schemas.openxmlformats.org/spreadsheetml/2006/main" id="12" name="tblReqLines" displayName="tblReqLines" ref="A1:L2" headerRowCount="1">
  <autoFilter ref="A1:L2"/>
  <tableColumns count="12">
    <tableColumn id="1" name="RequestNo"/>
    <tableColumn id="2" name="Sr"/>
    <tableColumn id="3" name="PartNo"/>
    <tableColumn id="4" name="Description"/>
    <tableColumn id="5" name="QtyRequested"/>
    <tableColumn id="6" name="QtyReserved"/>
    <tableColumn id="7" name="QtyReleased"/>
    <tableColumn id="8" name="UOM"/>
    <tableColumn id="9" name="LineStatus"/>
    <tableColumn id="10" name="UnitCost"/>
    <tableColumn id="11" name="StoreLocation"/>
    <tableColumn id="12" name="Remarks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2" min="1" max="1"/>
    <col width="118" customWidth="1" style="12" min="2" max="2"/>
  </cols>
  <sheetData>
    <row r="1" ht="24" customHeight="1" s="13">
      <c r="B1" s="14" t="inlineStr">
        <is>
          <t>JCB EDS LAB — MATERIAL DATA</t>
        </is>
      </c>
    </row>
    <row r="2" ht="15" customHeight="1" s="13">
      <c r="B2" s="15" t="inlineStr">
        <is>
          <t>This one file is the whole database. The portal reads it. You edit it like any spreadsheet.</t>
        </is>
      </c>
    </row>
    <row r="3" ht="15" customHeight="1" s="13">
      <c r="B3" s="16" t="n"/>
    </row>
    <row r="4" ht="19.5" customHeight="1" s="13">
      <c r="B4" s="17" t="inlineStr">
        <is>
          <t>THE ONLY THREE THINGS YOU EVER DO</t>
        </is>
      </c>
    </row>
    <row r="5" ht="15" customHeight="1" s="13">
      <c r="B5" s="16" t="inlineStr">
        <is>
          <t>1.  ADD A NEW MATERIAL    →  go to the  Parts  tab, type a new row at the bottom. That is all.</t>
        </is>
      </c>
    </row>
    <row r="6" ht="15" customHeight="1" s="13">
      <c r="B6" s="16" t="inlineStr">
        <is>
          <t>2.  REMOVE A MATERIAL     →  go to the  Parts  tab, set  Active  to  No.  (Do not delete the row — it keeps the history.)</t>
        </is>
      </c>
    </row>
    <row r="7" ht="15" customHeight="1" s="13">
      <c r="B7" s="16" t="inlineStr">
        <is>
          <t>3.  RECORD STOCK IN / OUT →  go to the  Movements  tab, add a row at the bottom.</t>
        </is>
      </c>
    </row>
    <row r="8" ht="15" customHeight="1" s="13">
      <c r="B8" s="16" t="n"/>
    </row>
    <row r="9" ht="19.5" customHeight="1" s="13">
      <c r="B9" s="17" t="inlineStr">
        <is>
          <t>WHAT EACH TAB IS FOR</t>
        </is>
      </c>
    </row>
    <row r="10" ht="15" customHeight="1" s="13">
      <c r="B10" s="16" t="inlineStr">
        <is>
          <t>Parts        The catalogue. One row per material. You add and retire rows here.</t>
        </is>
      </c>
    </row>
    <row r="11" ht="15" customHeight="1" s="13">
      <c r="B11" s="16" t="inlineStr">
        <is>
          <t>Movements    Every receipt and issue, one row each. Only ever ADD rows. Never edit or delete an old one.</t>
        </is>
      </c>
    </row>
    <row r="12" ht="15" customHeight="1" s="13">
      <c r="B12" s="16" t="inlineStr">
        <is>
          <t>LiveStock    Calculated automatically. Do not type in it. This is what the portal shows.</t>
        </is>
      </c>
    </row>
    <row r="13" ht="15" customHeight="1" s="13">
      <c r="B13" s="16" t="inlineStr">
        <is>
          <t>Users        Who is an Engineer, a Lab Admin, or a Manager. Change a role by changing one word.</t>
        </is>
      </c>
    </row>
    <row r="14" ht="15" customHeight="1" s="13">
      <c r="B14" s="16" t="inlineStr">
        <is>
          <t>Procurement  Every PR and PO you raise, with its stage — the portal reads and writes this tab.</t>
        </is>
      </c>
    </row>
    <row r="15" ht="15" customHeight="1" s="13">
      <c r="B15" s="16" t="inlineStr">
        <is>
          <t>Licenses     Software licence seats and expiry — type it in here, the portal just displays it.</t>
        </is>
      </c>
    </row>
    <row r="16" ht="15" customHeight="1" s="13">
      <c r="B16" s="16" t="inlineStr">
        <is>
          <t>Settings     Low-stock percentages, costing rates and other numbers you may want to tune later.</t>
        </is>
      </c>
    </row>
    <row r="17" ht="15" customHeight="1" s="13">
      <c r="B17" s="16" t="n"/>
    </row>
    <row r="18" ht="19.5" customHeight="1" s="13">
      <c r="B18" s="17" t="inlineStr">
        <is>
          <t>HOW THE PORTAL STAYS UP TO DATE</t>
        </is>
      </c>
    </row>
    <row r="19" ht="15" customHeight="1" s="13">
      <c r="B19" s="16" t="inlineStr">
        <is>
          <t>Save this file. Within about ten seconds every open portal notices and refreshes itself.</t>
        </is>
      </c>
    </row>
    <row r="20" ht="15" customHeight="1" s="13">
      <c r="B20" s="16" t="inlineStr">
        <is>
          <t>Nobody needs to close anything, press anything, or be told. It just updates.</t>
        </is>
      </c>
    </row>
    <row r="21" ht="15" customHeight="1" s="13">
      <c r="B21" s="16" t="n"/>
    </row>
    <row r="22" ht="19.5" customHeight="1" s="13">
      <c r="B22" s="17" t="inlineStr">
        <is>
          <t>TWO RULES THAT KEEP THE NUMBERS HONEST</t>
        </is>
      </c>
    </row>
    <row r="23" ht="15" customHeight="1" s="13">
      <c r="B23" s="16" t="inlineStr">
        <is>
          <t>•  Never type a stock quantity anywhere. Stock is worked out from the Movements tab.</t>
        </is>
      </c>
    </row>
    <row r="24" ht="15" customHeight="1" s="13">
      <c r="B24" s="16" t="inlineStr">
        <is>
          <t>•  Never change or delete a row in Movements. To fix a mistake, add a correcting row with type ADJUST+ or ADJUST-.</t>
        </is>
      </c>
    </row>
    <row r="25" ht="15" customHeight="1" s="13">
      <c r="B25" s="16" t="n"/>
    </row>
    <row r="26" ht="19.5" customHeight="1" s="13">
      <c r="B26" s="17" t="inlineStr">
        <is>
          <t>BEFORE YOU GO LIVE</t>
        </is>
      </c>
    </row>
    <row r="27" ht="15" customHeight="1" s="13">
      <c r="B27" s="18" t="inlineStr">
        <is>
          <t>The opening quantities below came from your purchase history, because the old sheet had no reliable</t>
        </is>
      </c>
    </row>
    <row r="28" ht="15" customHeight="1" s="13">
      <c r="B28" s="18" t="inlineStr">
        <is>
          <t>current-stock figure. Physically count your highest-value parts and correct them with ADJUST rows first.</t>
        </is>
      </c>
    </row>
    <row r="29" ht="15" customHeight="1" s="13">
      <c r="B29" s="16" t="n"/>
    </row>
    <row r="30" ht="15" customHeight="1" s="13">
      <c r="B30" s="15" t="inlineStr">
        <is>
          <t>Yellow cells are yours to type in. Grey cells are calculated — leave them alone.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46" customWidth="1" style="12" min="2" max="2"/>
    <col width="22" customWidth="1" style="12" min="3" max="3"/>
    <col width="20" customWidth="1" style="12" min="4" max="4"/>
    <col width="8" customWidth="1" style="12" min="5" max="5"/>
    <col width="14" customWidth="1" style="12" min="6" max="6"/>
    <col width="32" customWidth="1" style="12" min="7" max="7"/>
    <col width="11" customWidth="1" style="12" min="8" max="8"/>
    <col width="14" customWidth="1" style="12" min="9" max="9"/>
    <col width="9" customWidth="1" style="12" min="10" max="10"/>
    <col width="28" customWidth="1" style="12" min="11" max="11"/>
  </cols>
  <sheetData>
    <row r="1" ht="21.75" customHeight="1" s="13">
      <c r="A1" s="19" t="inlineStr">
        <is>
          <t>PartNo</t>
        </is>
      </c>
      <c r="B1" s="19" t="inlineStr">
        <is>
          <t>Description</t>
        </is>
      </c>
      <c r="C1" s="19" t="inlineStr">
        <is>
          <t>Category</t>
        </is>
      </c>
      <c r="D1" s="19" t="inlineStr">
        <is>
          <t>SubCategory</t>
        </is>
      </c>
      <c r="E1" s="19" t="inlineStr">
        <is>
          <t>UOM</t>
        </is>
      </c>
      <c r="F1" s="19" t="inlineStr">
        <is>
          <t>Location</t>
        </is>
      </c>
      <c r="G1" s="19" t="inlineStr">
        <is>
          <t>Supplier</t>
        </is>
      </c>
      <c r="H1" s="19" t="inlineStr">
        <is>
          <t>UnitCost</t>
        </is>
      </c>
      <c r="I1" s="19" t="inlineStr">
        <is>
          <t>ReorderRefQty</t>
        </is>
      </c>
      <c r="J1" s="19" t="inlineStr">
        <is>
          <t>Active</t>
        </is>
      </c>
      <c r="K1" s="19" t="inlineStr">
        <is>
          <t>Notes</t>
        </is>
      </c>
    </row>
    <row r="2" ht="15" customHeight="1" s="13">
      <c r="A2" s="16" t="inlineStr">
        <is>
          <t>MC000RVT1CXX1SQ001</t>
        </is>
      </c>
      <c r="B2" s="16" t="inlineStr">
        <is>
          <t>Revine Tech-1 Sq mm-Cable black</t>
        </is>
      </c>
      <c r="C2" s="16" t="inlineStr">
        <is>
          <t>Lab Consumables</t>
        </is>
      </c>
      <c r="D2" s="16" t="inlineStr">
        <is>
          <t>Battery Cable</t>
        </is>
      </c>
      <c r="E2" s="16" t="inlineStr">
        <is>
          <t>M</t>
        </is>
      </c>
      <c r="F2" s="16" t="n"/>
      <c r="G2" s="16" t="inlineStr">
        <is>
          <t>REVINE</t>
        </is>
      </c>
      <c r="H2" s="16" t="n">
        <v>12</v>
      </c>
      <c r="I2" s="16" t="n">
        <v>50</v>
      </c>
      <c r="J2" s="16" t="inlineStr">
        <is>
          <t>Yes</t>
        </is>
      </c>
      <c r="K2" s="16" t="n"/>
    </row>
    <row r="3" ht="15" customHeight="1" s="13">
      <c r="A3" s="16" t="inlineStr">
        <is>
          <t>MC000RVT1CXX1SQ002</t>
        </is>
      </c>
      <c r="B3" s="16" t="inlineStr">
        <is>
          <t>Revine Tech-1 Sq mm-Cable BLUE</t>
        </is>
      </c>
      <c r="C3" s="16" t="inlineStr">
        <is>
          <t>Lab Consumables</t>
        </is>
      </c>
      <c r="D3" s="16" t="inlineStr">
        <is>
          <t>Battery Cable</t>
        </is>
      </c>
      <c r="E3" s="16" t="inlineStr">
        <is>
          <t>M</t>
        </is>
      </c>
      <c r="F3" s="16" t="n"/>
      <c r="G3" s="16" t="inlineStr">
        <is>
          <t>REVINE</t>
        </is>
      </c>
      <c r="H3" s="16" t="n">
        <v>12</v>
      </c>
      <c r="I3" s="16" t="n">
        <v>50</v>
      </c>
      <c r="J3" s="16" t="inlineStr">
        <is>
          <t>Yes</t>
        </is>
      </c>
      <c r="K3" s="16" t="n"/>
    </row>
    <row r="4" ht="15" customHeight="1" s="13">
      <c r="A4" s="16" t="inlineStr">
        <is>
          <t>MC000RVT1CXX1SQ003</t>
        </is>
      </c>
      <c r="B4" s="16" t="inlineStr">
        <is>
          <t>Revine Tech-1 Sq mm-Cable RED 1</t>
        </is>
      </c>
      <c r="C4" s="16" t="inlineStr">
        <is>
          <t>Lab Consumables</t>
        </is>
      </c>
      <c r="D4" s="16" t="inlineStr">
        <is>
          <t>Battery Cable</t>
        </is>
      </c>
      <c r="E4" s="16" t="inlineStr">
        <is>
          <t>M</t>
        </is>
      </c>
      <c r="F4" s="16" t="n"/>
      <c r="G4" s="16" t="inlineStr">
        <is>
          <t>REVINE</t>
        </is>
      </c>
      <c r="H4" s="16" t="n">
        <v>12</v>
      </c>
      <c r="I4" s="16" t="n">
        <v>50</v>
      </c>
      <c r="J4" s="16" t="inlineStr">
        <is>
          <t>Yes</t>
        </is>
      </c>
      <c r="K4" s="16" t="n"/>
    </row>
    <row r="5" ht="15" customHeight="1" s="13">
      <c r="A5" s="16" t="inlineStr">
        <is>
          <t>MC000RVT1CXX1SQ004</t>
        </is>
      </c>
      <c r="B5" s="16" t="inlineStr">
        <is>
          <t>Revine Tech-1 Sq mm-Cable</t>
        </is>
      </c>
      <c r="C5" s="16" t="inlineStr">
        <is>
          <t>Lab Consumables</t>
        </is>
      </c>
      <c r="D5" s="16" t="inlineStr">
        <is>
          <t>Battery Cable</t>
        </is>
      </c>
      <c r="E5" s="16" t="inlineStr">
        <is>
          <t>M</t>
        </is>
      </c>
      <c r="F5" s="16" t="n"/>
      <c r="G5" s="16" t="inlineStr">
        <is>
          <t>REVINE</t>
        </is>
      </c>
      <c r="H5" s="16" t="n">
        <v>12</v>
      </c>
      <c r="I5" s="16" t="n">
        <v>50</v>
      </c>
      <c r="J5" s="16" t="inlineStr">
        <is>
          <t>Yes</t>
        </is>
      </c>
      <c r="K5" s="16" t="n"/>
    </row>
    <row r="6" ht="15" customHeight="1" s="13">
      <c r="A6" s="16" t="inlineStr">
        <is>
          <t>P_CON_GEN_ASLY_002</t>
        </is>
      </c>
      <c r="B6" s="16" t="inlineStr">
        <is>
          <t>INSULATION TAPE</t>
        </is>
      </c>
      <c r="C6" s="16" t="inlineStr">
        <is>
          <t>Lab Consumables</t>
        </is>
      </c>
      <c r="D6" s="16" t="inlineStr">
        <is>
          <t>Insulation Tape</t>
        </is>
      </c>
      <c r="E6" s="16" t="inlineStr">
        <is>
          <t>NO</t>
        </is>
      </c>
      <c r="F6" s="16" t="inlineStr">
        <is>
          <t>UTILITY AREA</t>
        </is>
      </c>
      <c r="G6" s="16" t="inlineStr">
        <is>
          <t>ROYAL ENGINEERS AND CONTRACTORS</t>
        </is>
      </c>
      <c r="H6" s="16" t="n">
        <v>10</v>
      </c>
      <c r="I6" s="16" t="n">
        <v>800</v>
      </c>
      <c r="J6" s="16" t="inlineStr">
        <is>
          <t>Yes</t>
        </is>
      </c>
      <c r="K6" s="16" t="n"/>
    </row>
    <row r="7" ht="15" customHeight="1" s="13">
      <c r="A7" s="16" t="inlineStr">
        <is>
          <t>MC000SWRDTSPXXX001</t>
        </is>
      </c>
      <c r="B7" s="16" t="inlineStr">
        <is>
          <t>Solder Wire-Duratool-SPC22129</t>
        </is>
      </c>
      <c r="C7" s="16" t="inlineStr">
        <is>
          <t>Lab Consumables</t>
        </is>
      </c>
      <c r="D7" s="16" t="inlineStr">
        <is>
          <t>Wire</t>
        </is>
      </c>
      <c r="E7" s="16" t="inlineStr">
        <is>
          <t>NO</t>
        </is>
      </c>
      <c r="F7" s="16" t="n"/>
      <c r="G7" s="16" t="inlineStr">
        <is>
          <t>REVINE</t>
        </is>
      </c>
      <c r="H7" s="16" t="n"/>
      <c r="I7" s="16" t="n">
        <v>5</v>
      </c>
      <c r="J7" s="16" t="inlineStr">
        <is>
          <t>Yes</t>
        </is>
      </c>
      <c r="K7" s="16" t="n"/>
    </row>
    <row r="8" ht="15" customHeight="1" s="13">
      <c r="A8" s="16" t="inlineStr">
        <is>
          <t>MC000SFLRVRSXXX001</t>
        </is>
      </c>
      <c r="B8" s="16" t="inlineStr">
        <is>
          <t>Soldering Flux-Revine</t>
        </is>
      </c>
      <c r="C8" s="16" t="inlineStr">
        <is>
          <t>Lab Consumables</t>
        </is>
      </c>
      <c r="D8" s="16" t="inlineStr">
        <is>
          <t>Soldering Wire</t>
        </is>
      </c>
      <c r="E8" s="16" t="inlineStr">
        <is>
          <t>NO</t>
        </is>
      </c>
      <c r="F8" s="16" t="n"/>
      <c r="G8" s="16" t="inlineStr">
        <is>
          <t>REVINE</t>
        </is>
      </c>
      <c r="H8" s="16" t="n">
        <v>101</v>
      </c>
      <c r="I8" s="16" t="n">
        <v>10</v>
      </c>
      <c r="J8" s="16" t="inlineStr">
        <is>
          <t>Yes</t>
        </is>
      </c>
      <c r="K8" s="16" t="n"/>
    </row>
    <row r="9" ht="15" customHeight="1" s="13">
      <c r="A9" s="16" t="inlineStr">
        <is>
          <t>MC000IPCFLFLXXX001</t>
        </is>
      </c>
      <c r="B9" s="16" t="inlineStr">
        <is>
          <t>Insulation Pierc Cli-Fluke-FLK-TP82</t>
        </is>
      </c>
      <c r="C9" s="16" t="inlineStr">
        <is>
          <t>Tools</t>
        </is>
      </c>
      <c r="D9" s="16" t="inlineStr">
        <is>
          <t>WH Misc</t>
        </is>
      </c>
      <c r="E9" s="16" t="inlineStr">
        <is>
          <t>NO</t>
        </is>
      </c>
      <c r="F9" s="16" t="n"/>
      <c r="G9" s="16" t="inlineStr">
        <is>
          <t>REVINE</t>
        </is>
      </c>
      <c r="H9" s="16" t="n">
        <v>9282</v>
      </c>
      <c r="I9" s="16" t="n">
        <v>2</v>
      </c>
      <c r="J9" s="16" t="inlineStr">
        <is>
          <t>Yes</t>
        </is>
      </c>
      <c r="K9" s="16" t="n"/>
    </row>
    <row r="10" ht="15" customHeight="1" s="13">
      <c r="A10" s="16" t="inlineStr">
        <is>
          <t>MC000TCNRVSTXXX001</t>
        </is>
      </c>
      <c r="B10" s="16" t="inlineStr">
        <is>
          <t>Terminal Connector-Revine</t>
        </is>
      </c>
      <c r="C10" s="16" t="inlineStr">
        <is>
          <t>Wiring Harness Components</t>
        </is>
      </c>
      <c r="D10" s="16" t="inlineStr">
        <is>
          <t>Connector</t>
        </is>
      </c>
      <c r="E10" s="16" t="inlineStr">
        <is>
          <t>NO</t>
        </is>
      </c>
      <c r="F10" s="16" t="n"/>
      <c r="G10" s="16" t="inlineStr">
        <is>
          <t>REVINE</t>
        </is>
      </c>
      <c r="H10" s="16" t="n">
        <v>20</v>
      </c>
      <c r="I10" s="16" t="n">
        <v>100</v>
      </c>
      <c r="J10" s="16" t="inlineStr">
        <is>
          <t>Yes</t>
        </is>
      </c>
      <c r="K10" s="16" t="n"/>
    </row>
    <row r="11" ht="15" customHeight="1" s="13">
      <c r="A11" s="16" t="inlineStr">
        <is>
          <t>MC000RVT1CXX2SQ001</t>
        </is>
      </c>
      <c r="B11" s="16" t="inlineStr">
        <is>
          <t>Revine Tech-1sqmm,2 sqm HST</t>
        </is>
      </c>
      <c r="C11" s="16" t="inlineStr">
        <is>
          <t>Lab Consumables</t>
        </is>
      </c>
      <c r="D11" s="16" t="inlineStr">
        <is>
          <t>HST</t>
        </is>
      </c>
      <c r="E11" s="16" t="inlineStr">
        <is>
          <t>M</t>
        </is>
      </c>
      <c r="F11" s="16" t="n"/>
      <c r="G11" s="16" t="inlineStr">
        <is>
          <t>REVINE</t>
        </is>
      </c>
      <c r="H11" s="16" t="n">
        <v>13</v>
      </c>
      <c r="I11" s="16" t="n">
        <v>5</v>
      </c>
      <c r="J11" s="16" t="inlineStr">
        <is>
          <t>Yes</t>
        </is>
      </c>
      <c r="K11" s="16" t="n"/>
    </row>
    <row r="12" ht="15" customHeight="1" s="13">
      <c r="A12" s="16" t="inlineStr">
        <is>
          <t>MC000RVTXXJCXX001</t>
        </is>
      </c>
      <c r="B12" s="16" t="inlineStr">
        <is>
          <t>Revine Tech JUMPER CABLE M TO</t>
        </is>
      </c>
      <c r="C12" s="16" t="inlineStr">
        <is>
          <t>Lab Consumables</t>
        </is>
      </c>
      <c r="D12" s="16" t="inlineStr">
        <is>
          <t>Battery Cable</t>
        </is>
      </c>
      <c r="E12" s="16" t="inlineStr">
        <is>
          <t>M</t>
        </is>
      </c>
      <c r="F12" s="16" t="n"/>
      <c r="G12" s="16" t="inlineStr">
        <is>
          <t>REVINE</t>
        </is>
      </c>
      <c r="H12" s="16" t="n">
        <v>7</v>
      </c>
      <c r="I12" s="16" t="n">
        <v>100</v>
      </c>
      <c r="J12" s="16" t="inlineStr">
        <is>
          <t>Yes</t>
        </is>
      </c>
      <c r="K12" s="16" t="n"/>
    </row>
    <row r="13" ht="15" customHeight="1" s="13">
      <c r="A13" s="16" t="inlineStr">
        <is>
          <t>MC000RVTXXJCXX002</t>
        </is>
      </c>
      <c r="B13" s="16" t="inlineStr">
        <is>
          <t>Revine Tech---Jumper Cable- M TO F</t>
        </is>
      </c>
      <c r="C13" s="16" t="inlineStr">
        <is>
          <t>Lab Consumables</t>
        </is>
      </c>
      <c r="D13" s="16" t="inlineStr">
        <is>
          <t>Battery Cable</t>
        </is>
      </c>
      <c r="E13" s="16" t="inlineStr">
        <is>
          <t>M</t>
        </is>
      </c>
      <c r="F13" s="16" t="n"/>
      <c r="G13" s="16" t="inlineStr">
        <is>
          <t>REVINE</t>
        </is>
      </c>
      <c r="H13" s="16" t="n">
        <v>9</v>
      </c>
      <c r="I13" s="16" t="n">
        <v>100</v>
      </c>
      <c r="J13" s="16" t="inlineStr">
        <is>
          <t>Yes</t>
        </is>
      </c>
      <c r="K13" s="16" t="n"/>
    </row>
    <row r="14" ht="15" customHeight="1" s="13">
      <c r="A14" s="16" t="inlineStr">
        <is>
          <t>MC000RVTXXJCXX003</t>
        </is>
      </c>
      <c r="B14" s="16" t="inlineStr">
        <is>
          <t>Revine Tech-Jumper Cable--F TO F</t>
        </is>
      </c>
      <c r="C14" s="16" t="inlineStr">
        <is>
          <t>Lab Consumables</t>
        </is>
      </c>
      <c r="D14" s="16" t="inlineStr">
        <is>
          <t>Battery Cable</t>
        </is>
      </c>
      <c r="E14" s="16" t="inlineStr">
        <is>
          <t>M</t>
        </is>
      </c>
      <c r="F14" s="16" t="n"/>
      <c r="G14" s="16" t="inlineStr">
        <is>
          <t>REVINE</t>
        </is>
      </c>
      <c r="H14" s="16" t="n">
        <v>7</v>
      </c>
      <c r="I14" s="16" t="n">
        <v>100</v>
      </c>
      <c r="J14" s="16" t="inlineStr">
        <is>
          <t>Yes</t>
        </is>
      </c>
      <c r="K14" s="16" t="n"/>
    </row>
    <row r="15" ht="15" customHeight="1" s="13">
      <c r="A15" s="16" t="inlineStr">
        <is>
          <t>MC000CBLRVXXXXX001</t>
        </is>
      </c>
      <c r="B15" s="16" t="inlineStr">
        <is>
          <t>Cable Label-Revine Tech 240 PCS</t>
        </is>
      </c>
      <c r="C15" s="16" t="inlineStr">
        <is>
          <t>Lab Consumables</t>
        </is>
      </c>
      <c r="D15" s="16" t="inlineStr">
        <is>
          <t>Battery Cable</t>
        </is>
      </c>
      <c r="E15" s="16" t="inlineStr">
        <is>
          <t>NO</t>
        </is>
      </c>
      <c r="F15" s="16" t="n"/>
      <c r="G15" s="16" t="inlineStr">
        <is>
          <t>REVINE</t>
        </is>
      </c>
      <c r="H15" s="16" t="n">
        <v>1063</v>
      </c>
      <c r="I15" s="16" t="n">
        <v>1</v>
      </c>
      <c r="J15" s="16" t="inlineStr">
        <is>
          <t>Yes</t>
        </is>
      </c>
      <c r="K15" s="16" t="n"/>
    </row>
    <row r="16" ht="15" customHeight="1" s="13">
      <c r="A16" s="16" t="inlineStr">
        <is>
          <t>M2000A06SC04AA0001</t>
        </is>
      </c>
      <c r="B16" s="16" t="inlineStr">
        <is>
          <t>MISCE STO SCOP BLAC 700 STORAGE BOX</t>
        </is>
      </c>
      <c r="C16" s="16" t="inlineStr">
        <is>
          <t>Tools</t>
        </is>
      </c>
      <c r="D16" s="16" t="inlineStr">
        <is>
          <t>WH Misc</t>
        </is>
      </c>
      <c r="E16" s="16" t="inlineStr">
        <is>
          <t>NO</t>
        </is>
      </c>
      <c r="F16" s="16" t="n"/>
      <c r="G16" s="16" t="inlineStr">
        <is>
          <t>REVINE</t>
        </is>
      </c>
      <c r="H16" s="16" t="n">
        <v>24000</v>
      </c>
      <c r="I16" s="16" t="n">
        <v>1</v>
      </c>
      <c r="J16" s="16" t="inlineStr">
        <is>
          <t>Yes</t>
        </is>
      </c>
      <c r="K16" s="16" t="n"/>
    </row>
    <row r="17" ht="15" customHeight="1" s="13">
      <c r="A17" s="16" t="inlineStr">
        <is>
          <t>MC00001A1XXXXX001</t>
        </is>
      </c>
      <c r="B17" s="16" t="inlineStr">
        <is>
          <t>WIRE CLA 0.5 - - WIRE - 0.5 SQ.MM</t>
        </is>
      </c>
      <c r="C17" s="16" t="inlineStr">
        <is>
          <t>Lab Consumables</t>
        </is>
      </c>
      <c r="D17" s="16" t="inlineStr">
        <is>
          <t>Wire</t>
        </is>
      </c>
      <c r="E17" s="16" t="inlineStr">
        <is>
          <t>M</t>
        </is>
      </c>
      <c r="F17" s="16" t="n"/>
      <c r="G17" s="16" t="inlineStr">
        <is>
          <t>BALAJI EXTRUSIONS &amp; CABLES PVT.LTD</t>
        </is>
      </c>
      <c r="H17" s="16" t="n">
        <v>5.05</v>
      </c>
      <c r="I17" s="16" t="n">
        <v>2000</v>
      </c>
      <c r="J17" s="16" t="inlineStr">
        <is>
          <t>Yes</t>
        </is>
      </c>
      <c r="K17" s="16" t="n"/>
    </row>
    <row r="18" ht="15" customHeight="1" s="13">
      <c r="A18" s="16" t="inlineStr">
        <is>
          <t>MC00001A2XXXXX001</t>
        </is>
      </c>
      <c r="B18" s="16" t="inlineStr">
        <is>
          <t>WIRE CLA 0.75 - - WIRE - 0.75 SQ.MM</t>
        </is>
      </c>
      <c r="C18" s="16" t="inlineStr">
        <is>
          <t>Lab Consumables</t>
        </is>
      </c>
      <c r="D18" s="16" t="inlineStr">
        <is>
          <t>Wire</t>
        </is>
      </c>
      <c r="E18" s="16" t="inlineStr">
        <is>
          <t>M</t>
        </is>
      </c>
      <c r="F18" s="16" t="n"/>
      <c r="G18" s="16" t="inlineStr">
        <is>
          <t>BALAJI EXTRUSIONS &amp; CABLES PVT.LTD</t>
        </is>
      </c>
      <c r="H18" s="16" t="n">
        <v>7.53</v>
      </c>
      <c r="I18" s="16" t="n">
        <v>2000</v>
      </c>
      <c r="J18" s="16" t="inlineStr">
        <is>
          <t>Yes</t>
        </is>
      </c>
      <c r="K18" s="16" t="n"/>
    </row>
    <row r="19" ht="15" customHeight="1" s="13">
      <c r="A19" s="16" t="inlineStr">
        <is>
          <t>MC00001A3XXXXX001</t>
        </is>
      </c>
      <c r="B19" s="16" t="inlineStr">
        <is>
          <t>WIRE CLA 1 SQ - - WIRE - 1 SQ.MM</t>
        </is>
      </c>
      <c r="C19" s="16" t="inlineStr">
        <is>
          <t>Lab Consumables</t>
        </is>
      </c>
      <c r="D19" s="16" t="inlineStr">
        <is>
          <t>Wire</t>
        </is>
      </c>
      <c r="E19" s="16" t="inlineStr">
        <is>
          <t>M</t>
        </is>
      </c>
      <c r="F19" s="16" t="n"/>
      <c r="G19" s="16" t="inlineStr">
        <is>
          <t>BALAJI EXTRUSIONS &amp; CABLES PVT.LTD</t>
        </is>
      </c>
      <c r="H19" s="16" t="n">
        <v>9.880000000000001</v>
      </c>
      <c r="I19" s="16" t="n">
        <v>2000</v>
      </c>
      <c r="J19" s="16" t="inlineStr">
        <is>
          <t>Yes</t>
        </is>
      </c>
      <c r="K19" s="16" t="n"/>
    </row>
    <row r="20" ht="15" customHeight="1" s="13">
      <c r="A20" s="16" t="inlineStr">
        <is>
          <t>MC00001A4XXXXX001</t>
        </is>
      </c>
      <c r="B20" s="16" t="inlineStr">
        <is>
          <t>WIRE CLA 1.5 - - WIRE- 1.5 SQ.MM</t>
        </is>
      </c>
      <c r="C20" s="16" t="inlineStr">
        <is>
          <t>Lab Consumables</t>
        </is>
      </c>
      <c r="D20" s="16" t="inlineStr">
        <is>
          <t>Wire</t>
        </is>
      </c>
      <c r="E20" s="16" t="inlineStr">
        <is>
          <t>M</t>
        </is>
      </c>
      <c r="F20" s="16" t="n"/>
      <c r="G20" s="16" t="inlineStr">
        <is>
          <t>BALAJI EXTRUSIONS &amp; CABLES PVT.LTD</t>
        </is>
      </c>
      <c r="H20" s="16" t="n">
        <v>14.29</v>
      </c>
      <c r="I20" s="16" t="n">
        <v>2000</v>
      </c>
      <c r="J20" s="16" t="inlineStr">
        <is>
          <t>Yes</t>
        </is>
      </c>
      <c r="K20" s="16" t="n"/>
    </row>
    <row r="21" ht="15" customHeight="1" s="13">
      <c r="A21" s="16" t="inlineStr">
        <is>
          <t>MC00001A5XXXXX001</t>
        </is>
      </c>
      <c r="B21" s="16" t="inlineStr">
        <is>
          <t>WIRE CLA 2 SQ - - WIRE- 2 SQ.MM</t>
        </is>
      </c>
      <c r="C21" s="16" t="inlineStr">
        <is>
          <t>Lab Consumables</t>
        </is>
      </c>
      <c r="D21" s="16" t="inlineStr">
        <is>
          <t>Wire</t>
        </is>
      </c>
      <c r="E21" s="16" t="inlineStr">
        <is>
          <t>M</t>
        </is>
      </c>
      <c r="F21" s="16" t="n"/>
      <c r="G21" s="16" t="inlineStr">
        <is>
          <t>BALAJI EXTRUSIONS &amp; CABLES PVT.LTD</t>
        </is>
      </c>
      <c r="H21" s="16" t="n">
        <v>20.96</v>
      </c>
      <c r="I21" s="16" t="n">
        <v>1000</v>
      </c>
      <c r="J21" s="16" t="inlineStr">
        <is>
          <t>Yes</t>
        </is>
      </c>
      <c r="K21" s="16" t="n"/>
    </row>
    <row r="22" ht="15" customHeight="1" s="13">
      <c r="A22" s="16" t="inlineStr">
        <is>
          <t>MC00001A6XXXXX001</t>
        </is>
      </c>
      <c r="B22" s="16" t="inlineStr">
        <is>
          <t>WIRE CLA 2.5 - - WIRE- 2.5 SQ.MM</t>
        </is>
      </c>
      <c r="C22" s="16" t="inlineStr">
        <is>
          <t>Lab Consumables</t>
        </is>
      </c>
      <c r="D22" s="16" t="inlineStr">
        <is>
          <t>Wire</t>
        </is>
      </c>
      <c r="E22" s="16" t="inlineStr">
        <is>
          <t>M</t>
        </is>
      </c>
      <c r="F22" s="16" t="n"/>
      <c r="G22" s="16" t="inlineStr">
        <is>
          <t>BALAJI EXTRUSIONS &amp; CABLES PVT.LTD</t>
        </is>
      </c>
      <c r="H22" s="16" t="n">
        <v>23.56</v>
      </c>
      <c r="I22" s="16" t="n">
        <v>1000</v>
      </c>
      <c r="J22" s="16" t="inlineStr">
        <is>
          <t>Yes</t>
        </is>
      </c>
      <c r="K22" s="16" t="n"/>
    </row>
    <row r="23" ht="15" customHeight="1" s="13">
      <c r="A23" s="16" t="inlineStr">
        <is>
          <t>MC00001A8XXXXX001</t>
        </is>
      </c>
      <c r="B23" s="16" t="inlineStr">
        <is>
          <t>WIRE CLA 4 SQ - - WIRE- 4. SQ.MM</t>
        </is>
      </c>
      <c r="C23" s="16" t="inlineStr">
        <is>
          <t>Lab Consumables</t>
        </is>
      </c>
      <c r="D23" s="16" t="inlineStr">
        <is>
          <t>Wire</t>
        </is>
      </c>
      <c r="E23" s="16" t="inlineStr">
        <is>
          <t>M</t>
        </is>
      </c>
      <c r="F23" s="16" t="n"/>
      <c r="G23" s="16" t="inlineStr">
        <is>
          <t>BALAJI EXTRUSIONS &amp; CABLES PVT.LTD</t>
        </is>
      </c>
      <c r="H23" s="16" t="n">
        <v>38.55</v>
      </c>
      <c r="I23" s="16" t="n">
        <v>500</v>
      </c>
      <c r="J23" s="16" t="inlineStr">
        <is>
          <t>Yes</t>
        </is>
      </c>
      <c r="K23" s="16" t="n"/>
    </row>
    <row r="24" ht="15" customHeight="1" s="13">
      <c r="A24" s="16" t="inlineStr">
        <is>
          <t>MC00001A9XXXXX001</t>
        </is>
      </c>
      <c r="B24" s="16" t="inlineStr">
        <is>
          <t>WIRE CLA 6 SQ - - WIRE- 6. SQ.MM</t>
        </is>
      </c>
      <c r="C24" s="16" t="inlineStr">
        <is>
          <t>Lab Consumables</t>
        </is>
      </c>
      <c r="D24" s="16" t="inlineStr">
        <is>
          <t>Wire</t>
        </is>
      </c>
      <c r="E24" s="16" t="inlineStr">
        <is>
          <t>M</t>
        </is>
      </c>
      <c r="F24" s="16" t="n"/>
      <c r="G24" s="16" t="inlineStr">
        <is>
          <t>BALAJI EXTRUSIONS &amp; CABLES PVT.LTD</t>
        </is>
      </c>
      <c r="H24" s="16" t="n">
        <v>57.23</v>
      </c>
      <c r="I24" s="16" t="n">
        <v>600</v>
      </c>
      <c r="J24" s="16" t="inlineStr">
        <is>
          <t>Yes</t>
        </is>
      </c>
      <c r="K24" s="16" t="n"/>
    </row>
    <row r="25" ht="15" customHeight="1" s="13">
      <c r="A25" s="16" t="inlineStr">
        <is>
          <t>MC00001B2XXXXX001</t>
        </is>
      </c>
      <c r="B25" s="16" t="inlineStr">
        <is>
          <t>WIRE CLA 10 S - - WIRE -10 SQ.MM</t>
        </is>
      </c>
      <c r="C25" s="16" t="inlineStr">
        <is>
          <t>Lab Consumables</t>
        </is>
      </c>
      <c r="D25" s="16" t="inlineStr">
        <is>
          <t>Wire</t>
        </is>
      </c>
      <c r="E25" s="16" t="inlineStr">
        <is>
          <t>M</t>
        </is>
      </c>
      <c r="F25" s="16" t="n"/>
      <c r="G25" s="16" t="inlineStr">
        <is>
          <t>BALAJI EXTRUSIONS &amp; CABLES PVT.LTD</t>
        </is>
      </c>
      <c r="H25" s="16" t="n">
        <v>100.58</v>
      </c>
      <c r="I25" s="16" t="n">
        <v>600</v>
      </c>
      <c r="J25" s="16" t="inlineStr">
        <is>
          <t>Yes</t>
        </is>
      </c>
      <c r="K25" s="16" t="n"/>
    </row>
    <row r="26" ht="15" customHeight="1" s="13">
      <c r="A26" s="16" t="inlineStr">
        <is>
          <t>MC00001A7XXXXX001</t>
        </is>
      </c>
      <c r="B26" s="16" t="inlineStr">
        <is>
          <t>WIRE CLA 3. S - - WIRE- 3. SQ.MM</t>
        </is>
      </c>
      <c r="C26" s="16" t="inlineStr">
        <is>
          <t>Lab Consumables</t>
        </is>
      </c>
      <c r="D26" s="16" t="inlineStr">
        <is>
          <t>Wire</t>
        </is>
      </c>
      <c r="E26" s="16" t="inlineStr">
        <is>
          <t>M</t>
        </is>
      </c>
      <c r="F26" s="16" t="n"/>
      <c r="G26" s="16" t="inlineStr">
        <is>
          <t>BALAJI EXTRUSIONS &amp; CABLES PVT.LTD</t>
        </is>
      </c>
      <c r="H26" s="16" t="n">
        <v>34.61</v>
      </c>
      <c r="I26" s="16" t="n">
        <v>500</v>
      </c>
      <c r="J26" s="16" t="inlineStr">
        <is>
          <t>Yes</t>
        </is>
      </c>
      <c r="K26" s="16" t="n"/>
    </row>
    <row r="27" ht="15" customHeight="1" s="13">
      <c r="A27" s="16" t="inlineStr">
        <is>
          <t>MC00001B1XXXXX001</t>
        </is>
      </c>
      <c r="B27" s="16" t="inlineStr">
        <is>
          <t>WIRE CLA 8 SQ - - WIRE- 8 SQ.MM</t>
        </is>
      </c>
      <c r="C27" s="16" t="inlineStr">
        <is>
          <t>Lab Consumables</t>
        </is>
      </c>
      <c r="D27" s="16" t="inlineStr">
        <is>
          <t>Wire</t>
        </is>
      </c>
      <c r="E27" s="16" t="inlineStr">
        <is>
          <t>M</t>
        </is>
      </c>
      <c r="F27" s="16" t="n"/>
      <c r="G27" s="16" t="inlineStr">
        <is>
          <t>BALAJI EXTRUSIONS &amp; CABLES PVT.LTD</t>
        </is>
      </c>
      <c r="H27" s="16" t="n">
        <v>89.06</v>
      </c>
      <c r="I27" s="16" t="n">
        <v>600</v>
      </c>
      <c r="J27" s="16" t="inlineStr">
        <is>
          <t>Yes</t>
        </is>
      </c>
      <c r="K27" s="16" t="n"/>
    </row>
    <row r="28" ht="15" customHeight="1" s="13">
      <c r="A28" s="16" t="inlineStr">
        <is>
          <t>MC000ACZAUN7IG 9001</t>
        </is>
      </c>
      <c r="B28" s="16" t="inlineStr">
        <is>
          <t>Molex ServiceGrade Hand Crimp Tool for Open Barrel</t>
        </is>
      </c>
      <c r="C28" s="16" t="inlineStr">
        <is>
          <t>Tools</t>
        </is>
      </c>
      <c r="D28" s="16" t="inlineStr">
        <is>
          <t>WH Misc</t>
        </is>
      </c>
      <c r="E28" s="16" t="inlineStr">
        <is>
          <t>NO</t>
        </is>
      </c>
      <c r="F28" s="16" t="n"/>
      <c r="G28" s="16" t="inlineStr">
        <is>
          <t>RS Components&amp; Controls (I) Ltd.</t>
        </is>
      </c>
      <c r="H28" s="16" t="n"/>
      <c r="I28" s="16" t="n">
        <v>2</v>
      </c>
      <c r="J28" s="16" t="inlineStr">
        <is>
          <t>Yes</t>
        </is>
      </c>
      <c r="K28" s="16" t="n"/>
    </row>
    <row r="29" ht="15" customHeight="1" s="13">
      <c r="A29" s="16" t="inlineStr">
        <is>
          <t>MC000AAOAVO2IH 4001 8</t>
        </is>
      </c>
      <c r="B29" s="16" t="inlineStr">
        <is>
          <t>RS PRO Wire Stripper 0.6mm Min 2.6mm Max 5-1/2</t>
        </is>
      </c>
      <c r="C29" s="16" t="inlineStr">
        <is>
          <t>Tools</t>
        </is>
      </c>
      <c r="D29" s="16" t="inlineStr">
        <is>
          <t>Wire</t>
        </is>
      </c>
      <c r="E29" s="16" t="inlineStr">
        <is>
          <t>NO</t>
        </is>
      </c>
      <c r="F29" s="16" t="n"/>
      <c r="G29" s="16" t="inlineStr">
        <is>
          <t>RS Components&amp; Controls (I) Ltd.</t>
        </is>
      </c>
      <c r="H29" s="16" t="n"/>
      <c r="I29" s="16" t="n">
        <v>1</v>
      </c>
      <c r="J29" s="16" t="inlineStr">
        <is>
          <t>Yes</t>
        </is>
      </c>
      <c r="K29" s="16" t="n"/>
    </row>
    <row r="30" ht="15" customHeight="1" s="13">
      <c r="A30" s="16" t="inlineStr">
        <is>
          <t>MC000ADBAFO6XX X001</t>
        </is>
      </c>
      <c r="B30" s="16" t="inlineStr">
        <is>
          <t>Knipex 95 31 Ratchet Cable Cutters</t>
        </is>
      </c>
      <c r="C30" s="16" t="inlineStr">
        <is>
          <t>Tools</t>
        </is>
      </c>
      <c r="D30" s="16" t="inlineStr">
        <is>
          <t>Battery Cable</t>
        </is>
      </c>
      <c r="E30" s="16" t="inlineStr">
        <is>
          <t>NO</t>
        </is>
      </c>
      <c r="F30" s="16" t="n"/>
      <c r="G30" s="16" t="inlineStr">
        <is>
          <t>RS Components&amp; Controls (I) Ltd.</t>
        </is>
      </c>
      <c r="H30" s="16" t="n"/>
      <c r="I30" s="16" t="n">
        <v>1</v>
      </c>
      <c r="J30" s="16" t="inlineStr">
        <is>
          <t>Yes</t>
        </is>
      </c>
      <c r="K30" s="16" t="n"/>
    </row>
    <row r="31" ht="15" customHeight="1" s="13">
      <c r="A31" s="16" t="inlineStr">
        <is>
          <t>MC000ACZAF07IH7 001</t>
        </is>
      </c>
      <c r="B31" s="16" t="inlineStr">
        <is>
          <t>Knipex PreciForce® Hand Ratcheting Crimp Tool for</t>
        </is>
      </c>
      <c r="C31" s="16" t="inlineStr">
        <is>
          <t>Tools</t>
        </is>
      </c>
      <c r="D31" s="16" t="inlineStr">
        <is>
          <t>WH Misc</t>
        </is>
      </c>
      <c r="E31" s="16" t="inlineStr">
        <is>
          <t>NO</t>
        </is>
      </c>
      <c r="F31" s="16" t="n"/>
      <c r="G31" s="16" t="inlineStr">
        <is>
          <t>RS Components&amp; Controls (I) Ltd.</t>
        </is>
      </c>
      <c r="H31" s="16" t="n"/>
      <c r="I31" s="16" t="n">
        <v>1</v>
      </c>
      <c r="J31" s="16" t="inlineStr">
        <is>
          <t>Yes</t>
        </is>
      </c>
      <c r="K31" s="16" t="n"/>
    </row>
    <row r="32" ht="15" customHeight="1" s="13">
      <c r="A32" s="16" t="inlineStr">
        <is>
          <t>MC000ADAAFO7IH 8001</t>
        </is>
      </c>
      <c r="B32" s="16" t="inlineStr">
        <is>
          <t>Knipex Crimping Tool 220 mm Overall</t>
        </is>
      </c>
      <c r="C32" s="16" t="inlineStr">
        <is>
          <t>Tools</t>
        </is>
      </c>
      <c r="D32" s="16" t="inlineStr">
        <is>
          <t>WH Misc</t>
        </is>
      </c>
      <c r="E32" s="16" t="inlineStr">
        <is>
          <t>NO</t>
        </is>
      </c>
      <c r="F32" s="16" t="n"/>
      <c r="G32" s="16" t="inlineStr">
        <is>
          <t>RS Components&amp; Controls (I) Ltd.</t>
        </is>
      </c>
      <c r="H32" s="16" t="n"/>
      <c r="I32" s="16" t="n">
        <v>1</v>
      </c>
      <c r="J32" s="16" t="inlineStr">
        <is>
          <t>Yes</t>
        </is>
      </c>
      <c r="K32" s="16" t="n"/>
    </row>
    <row r="33" ht="15" customHeight="1" s="13">
      <c r="A33" s="16" t="inlineStr">
        <is>
          <t>MC000ACZAWO5X XX001</t>
        </is>
      </c>
      <c r="B33" s="16" t="inlineStr">
        <is>
          <t>Crimp Tool DT Series HD10 Series HD30 Series H</t>
        </is>
      </c>
      <c r="C33" s="16" t="inlineStr">
        <is>
          <t>Tools</t>
        </is>
      </c>
      <c r="D33" s="16" t="inlineStr">
        <is>
          <t>WH Misc</t>
        </is>
      </c>
      <c r="E33" s="16" t="inlineStr">
        <is>
          <t>NO</t>
        </is>
      </c>
      <c r="F33" s="16" t="n"/>
      <c r="G33" s="16" t="inlineStr">
        <is>
          <t>RS Components&amp; Controls (I) Ltd.</t>
        </is>
      </c>
      <c r="H33" s="16" t="n"/>
      <c r="I33" s="16" t="n">
        <v>1</v>
      </c>
      <c r="J33" s="16" t="inlineStr">
        <is>
          <t>Yes</t>
        </is>
      </c>
      <c r="K33" s="16" t="n"/>
    </row>
    <row r="34" ht="15" customHeight="1" s="13">
      <c r="A34" s="16" t="inlineStr">
        <is>
          <t>P_CON_TOOL_RS_219</t>
        </is>
      </c>
      <c r="B34" s="16" t="n"/>
      <c r="C34" s="16" t="inlineStr">
        <is>
          <t>Tools</t>
        </is>
      </c>
      <c r="D34" s="16" t="inlineStr">
        <is>
          <t>WH Misc</t>
        </is>
      </c>
      <c r="E34" s="16" t="inlineStr">
        <is>
          <t>NO</t>
        </is>
      </c>
      <c r="F34" s="16" t="n"/>
      <c r="G34" s="16" t="inlineStr">
        <is>
          <t>RS Components&amp; Controls (I) Ltd.</t>
        </is>
      </c>
      <c r="H34" s="16" t="n">
        <v>40900</v>
      </c>
      <c r="I34" s="16" t="n">
        <v>2</v>
      </c>
      <c r="J34" s="16" t="inlineStr">
        <is>
          <t>Yes</t>
        </is>
      </c>
      <c r="K34" s="16" t="n"/>
    </row>
    <row r="35" ht="15" customHeight="1" s="13">
      <c r="A35" s="16" t="inlineStr">
        <is>
          <t>P_CON_ELCC_GEN_071</t>
        </is>
      </c>
      <c r="B35" s="16" t="inlineStr">
        <is>
          <t>Battery Cable 1C X 16 mm²</t>
        </is>
      </c>
      <c r="C35" s="16" t="inlineStr">
        <is>
          <t>Lab Consumables</t>
        </is>
      </c>
      <c r="D35" s="16" t="inlineStr">
        <is>
          <t>Battery Cable</t>
        </is>
      </c>
      <c r="E35" s="16" t="inlineStr">
        <is>
          <t>NO</t>
        </is>
      </c>
      <c r="F35" s="16" t="inlineStr">
        <is>
          <t>EMC CUPBOARD</t>
        </is>
      </c>
      <c r="G35" s="16" t="inlineStr">
        <is>
          <t>MOTHERSON SUMI WIRING INDIA ( M274</t>
        </is>
      </c>
      <c r="H35" s="16" t="n">
        <v>228</v>
      </c>
      <c r="I35" s="16" t="n">
        <v>50</v>
      </c>
      <c r="J35" s="16" t="inlineStr">
        <is>
          <t>Yes</t>
        </is>
      </c>
      <c r="K35" s="16" t="n"/>
    </row>
    <row r="36" ht="15" customHeight="1" s="13">
      <c r="A36" s="16" t="inlineStr">
        <is>
          <t>P_CON_ELCC_GEN_072</t>
        </is>
      </c>
      <c r="B36" s="16" t="inlineStr">
        <is>
          <t>Battery Cable 1 C X 35 mm²</t>
        </is>
      </c>
      <c r="C36" s="16" t="inlineStr">
        <is>
          <t>Lab Consumables</t>
        </is>
      </c>
      <c r="D36" s="16" t="inlineStr">
        <is>
          <t>Battery Cable</t>
        </is>
      </c>
      <c r="E36" s="16" t="inlineStr">
        <is>
          <t>NO</t>
        </is>
      </c>
      <c r="F36" s="16" t="inlineStr">
        <is>
          <t>EMC CUPBOARD</t>
        </is>
      </c>
      <c r="G36" s="16" t="inlineStr">
        <is>
          <t>MOTHERSON SUMI WIRING INDIA ( M274</t>
        </is>
      </c>
      <c r="H36" s="16" t="n">
        <v>532</v>
      </c>
      <c r="I36" s="16" t="n">
        <v>50</v>
      </c>
      <c r="J36" s="16" t="inlineStr">
        <is>
          <t>Yes</t>
        </is>
      </c>
      <c r="K36" s="16" t="n"/>
    </row>
    <row r="37" ht="15" customHeight="1" s="13">
      <c r="A37" s="16" t="inlineStr">
        <is>
          <t>P_CON_ELCC_GEN_073</t>
        </is>
      </c>
      <c r="B37" s="16" t="inlineStr">
        <is>
          <t>Battery Cable 1 C X 70 mm²</t>
        </is>
      </c>
      <c r="C37" s="16" t="inlineStr">
        <is>
          <t>Lab Consumables</t>
        </is>
      </c>
      <c r="D37" s="16" t="inlineStr">
        <is>
          <t>Battery Cable</t>
        </is>
      </c>
      <c r="E37" s="16" t="inlineStr">
        <is>
          <t>NO</t>
        </is>
      </c>
      <c r="F37" s="16" t="inlineStr">
        <is>
          <t>EMC CUPBOARD</t>
        </is>
      </c>
      <c r="G37" s="16" t="inlineStr">
        <is>
          <t>MOTHERSON SUMI WIRING INDIA ( M274</t>
        </is>
      </c>
      <c r="H37" s="16" t="n">
        <v>975</v>
      </c>
      <c r="I37" s="16" t="n">
        <v>50</v>
      </c>
      <c r="J37" s="16" t="inlineStr">
        <is>
          <t>Yes</t>
        </is>
      </c>
      <c r="K37" s="16" t="n"/>
    </row>
    <row r="38" ht="15" customHeight="1" s="13">
      <c r="A38" s="16" t="inlineStr">
        <is>
          <t>0010 P_SER_ITSE_AMC_035-SOFTWARE AMC</t>
        </is>
      </c>
      <c r="B38" s="16" t="inlineStr">
        <is>
          <t>Renewal Acrobat Pro</t>
        </is>
      </c>
      <c r="C38" s="16" t="inlineStr">
        <is>
          <t>Miscellaneous</t>
        </is>
      </c>
      <c r="D38" s="16" t="inlineStr">
        <is>
          <t>WH Misc</t>
        </is>
      </c>
      <c r="E38" s="16" t="inlineStr">
        <is>
          <t>AU</t>
        </is>
      </c>
      <c r="F38" s="16" t="n"/>
      <c r="G38" s="16" t="inlineStr">
        <is>
          <t xml:space="preserve">Sujata Computers Pvt Ltd ( SP0303 </t>
        </is>
      </c>
      <c r="H38" s="16" t="n">
        <v>39000</v>
      </c>
      <c r="I38" s="16" t="n">
        <v>1</v>
      </c>
      <c r="J38" s="16" t="inlineStr">
        <is>
          <t>Yes</t>
        </is>
      </c>
      <c r="K38" s="16" t="n"/>
    </row>
    <row r="39" ht="15" customHeight="1" s="13">
      <c r="A39" s="16" t="inlineStr">
        <is>
          <t>P_C_CD/2024/006_01</t>
        </is>
      </c>
      <c r="B39" s="16" t="inlineStr">
        <is>
          <t>SEFRAM7204 6000cts handheld digital MM</t>
        </is>
      </c>
      <c r="C39" s="16" t="inlineStr">
        <is>
          <t>Tools</t>
        </is>
      </c>
      <c r="D39" s="16" t="inlineStr">
        <is>
          <t>WH Misc</t>
        </is>
      </c>
      <c r="E39" s="16" t="inlineStr">
        <is>
          <t>NO</t>
        </is>
      </c>
      <c r="F39" s="16" t="n"/>
      <c r="G39" s="16" t="inlineStr">
        <is>
          <t>RS Components&amp; Controls (I) Ltd.</t>
        </is>
      </c>
      <c r="H39" s="16" t="n">
        <v>12910</v>
      </c>
      <c r="I39" s="16" t="n">
        <v>3</v>
      </c>
      <c r="J39" s="16" t="inlineStr">
        <is>
          <t>Yes</t>
        </is>
      </c>
      <c r="K39" s="16" t="n"/>
    </row>
    <row r="40" ht="15" customHeight="1" s="13">
      <c r="A40" s="16" t="inlineStr">
        <is>
          <t>P_C_CD/2024/005_01</t>
        </is>
      </c>
      <c r="B40" s="16" t="inlineStr">
        <is>
          <t>Regulated DC Power Supply RL 03203</t>
        </is>
      </c>
      <c r="C40" s="16" t="inlineStr">
        <is>
          <t>Tools</t>
        </is>
      </c>
      <c r="D40" s="16" t="inlineStr">
        <is>
          <t>WH Misc</t>
        </is>
      </c>
      <c r="E40" s="16" t="inlineStr">
        <is>
          <t>NO</t>
        </is>
      </c>
      <c r="F40" s="16" t="n"/>
      <c r="G40" s="16" t="inlineStr">
        <is>
          <t>MOGLI LABS INDIA PVT LTD</t>
        </is>
      </c>
      <c r="H40" s="16" t="n">
        <v>47700</v>
      </c>
      <c r="I40" s="16" t="n">
        <v>2</v>
      </c>
      <c r="J40" s="16" t="inlineStr">
        <is>
          <t>Yes</t>
        </is>
      </c>
      <c r="K40" s="16" t="n"/>
    </row>
    <row r="41" ht="15" customHeight="1" s="13">
      <c r="A41" s="16" t="inlineStr">
        <is>
          <t>7208/0024</t>
        </is>
      </c>
      <c r="B41" s="16" t="inlineStr">
        <is>
          <t>OUNTERWEIGHT 35E 4WD PAI</t>
        </is>
      </c>
      <c r="C41" s="16" t="inlineStr">
        <is>
          <t>Lab Consumables</t>
        </is>
      </c>
      <c r="D41" s="16" t="inlineStr">
        <is>
          <t>WH Misc</t>
        </is>
      </c>
      <c r="E41" s="16" t="inlineStr">
        <is>
          <t>NO</t>
        </is>
      </c>
      <c r="F41" s="16" t="n"/>
      <c r="G41" s="16" t="inlineStr">
        <is>
          <t>MOTHERSON SUMI WIRING INDIA ( M274</t>
        </is>
      </c>
      <c r="H41" s="16" t="n">
        <v>1598</v>
      </c>
      <c r="I41" s="16" t="n">
        <v>50</v>
      </c>
      <c r="J41" s="16" t="inlineStr">
        <is>
          <t>Yes</t>
        </is>
      </c>
      <c r="K41" s="16" t="n"/>
    </row>
    <row r="42" ht="15" customHeight="1" s="13">
      <c r="A42" s="16" t="inlineStr">
        <is>
          <t>7208/0023</t>
        </is>
      </c>
      <c r="B42" s="16" t="inlineStr">
        <is>
          <t>OUNTERWEIGHT 35E 4WD PAI</t>
        </is>
      </c>
      <c r="C42" s="16" t="inlineStr">
        <is>
          <t>Lab Consumables</t>
        </is>
      </c>
      <c r="D42" s="16" t="inlineStr">
        <is>
          <t>WH Misc</t>
        </is>
      </c>
      <c r="E42" s="16" t="inlineStr">
        <is>
          <t>NO</t>
        </is>
      </c>
      <c r="F42" s="16" t="n"/>
      <c r="G42" s="16" t="inlineStr">
        <is>
          <t>MOTHERSON SUMI WIRING INDIA ( M274</t>
        </is>
      </c>
      <c r="H42" s="16" t="n">
        <v>1598</v>
      </c>
      <c r="I42" s="16" t="n">
        <v>50</v>
      </c>
      <c r="J42" s="16" t="inlineStr">
        <is>
          <t>Yes</t>
        </is>
      </c>
      <c r="K42" s="16" t="n"/>
    </row>
    <row r="43" ht="15" customHeight="1" s="13">
      <c r="A43" s="16" t="inlineStr">
        <is>
          <t>7254/1006</t>
        </is>
      </c>
      <c r="B43" s="16" t="inlineStr">
        <is>
          <t>G/Y Trirated 10MM</t>
        </is>
      </c>
      <c r="C43" s="16" t="inlineStr">
        <is>
          <t>Lab Consumables</t>
        </is>
      </c>
      <c r="D43" s="16" t="inlineStr">
        <is>
          <t>WH Misc</t>
        </is>
      </c>
      <c r="E43" s="16" t="inlineStr">
        <is>
          <t>NO</t>
        </is>
      </c>
      <c r="F43" s="16" t="n"/>
      <c r="G43" s="16" t="inlineStr">
        <is>
          <t>MOTHERSON SUMI WIRING INDIA ( M274</t>
        </is>
      </c>
      <c r="H43" s="16" t="n">
        <v>278</v>
      </c>
      <c r="I43" s="16" t="n">
        <v>50</v>
      </c>
      <c r="J43" s="16" t="inlineStr">
        <is>
          <t>Yes</t>
        </is>
      </c>
      <c r="K43" s="16" t="n"/>
    </row>
    <row r="44" ht="15" customHeight="1" s="13">
      <c r="A44" s="16" t="inlineStr">
        <is>
          <t>7254/0406</t>
        </is>
      </c>
      <c r="B44" s="16" t="inlineStr">
        <is>
          <t>4 MM SQ. CABLE TRI -RATED CK GR-YE</t>
        </is>
      </c>
      <c r="C44" s="16" t="inlineStr">
        <is>
          <t>Lab Consumables</t>
        </is>
      </c>
      <c r="D44" s="16" t="inlineStr">
        <is>
          <t>Battery Cable</t>
        </is>
      </c>
      <c r="E44" s="16" t="inlineStr">
        <is>
          <t>NO</t>
        </is>
      </c>
      <c r="F44" s="16" t="n"/>
      <c r="G44" s="16" t="inlineStr">
        <is>
          <t>MOTHERSON SUMI WIRING INDIA ( M274</t>
        </is>
      </c>
      <c r="H44" s="16" t="n">
        <v>104</v>
      </c>
      <c r="I44" s="16" t="n">
        <v>50</v>
      </c>
      <c r="J44" s="16" t="inlineStr">
        <is>
          <t>Yes</t>
        </is>
      </c>
      <c r="K44" s="16" t="n"/>
    </row>
    <row r="45" ht="15" customHeight="1" s="13">
      <c r="A45" s="16" t="inlineStr">
        <is>
          <t>7241/0065</t>
        </is>
      </c>
      <c r="B45" s="16" t="inlineStr">
        <is>
          <t>FUSEHOLDER FIXING PLATE</t>
        </is>
      </c>
      <c r="C45" s="16" t="inlineStr">
        <is>
          <t>Lab Consumables</t>
        </is>
      </c>
      <c r="D45" s="16" t="inlineStr">
        <is>
          <t>Fuse</t>
        </is>
      </c>
      <c r="E45" s="16" t="inlineStr">
        <is>
          <t>NO</t>
        </is>
      </c>
      <c r="F45" s="16" t="n"/>
      <c r="G45" s="16" t="inlineStr">
        <is>
          <t>MOTHERSON SUMI WIRING INDIA ( M274</t>
        </is>
      </c>
      <c r="H45" s="16" t="n">
        <v>30.54</v>
      </c>
      <c r="I45" s="16" t="n">
        <v>50</v>
      </c>
      <c r="J45" s="16" t="inlineStr">
        <is>
          <t>Yes</t>
        </is>
      </c>
      <c r="K45" s="16" t="n"/>
    </row>
    <row r="46" ht="15" customHeight="1" s="13">
      <c r="A46" s="16" t="inlineStr">
        <is>
          <t>7000/3217</t>
        </is>
      </c>
      <c r="B46" s="16" t="inlineStr">
        <is>
          <t>HEATSHRINK SLEEVE PLAIN Rev.Lel.-01</t>
        </is>
      </c>
      <c r="C46" s="16" t="inlineStr">
        <is>
          <t>Lab Consumables</t>
        </is>
      </c>
      <c r="D46" s="16" t="inlineStr">
        <is>
          <t>HST</t>
        </is>
      </c>
      <c r="E46" s="16" t="inlineStr">
        <is>
          <t>NO</t>
        </is>
      </c>
      <c r="F46" s="16" t="n"/>
      <c r="G46" s="16" t="inlineStr">
        <is>
          <t>MOTHERSON SUMI WIRING INDIA ( M274</t>
        </is>
      </c>
      <c r="H46" s="16" t="n">
        <v>173.4</v>
      </c>
      <c r="I46" s="16" t="n">
        <v>50</v>
      </c>
      <c r="J46" s="16" t="inlineStr">
        <is>
          <t>Yes</t>
        </is>
      </c>
      <c r="K46" s="16" t="n"/>
    </row>
    <row r="47" ht="15" customHeight="1" s="13">
      <c r="A47" s="16" t="inlineStr">
        <is>
          <t>717/20129</t>
        </is>
      </c>
      <c r="B47" s="16" t="inlineStr">
        <is>
          <t>TERMINAL BOOT</t>
        </is>
      </c>
      <c r="C47" s="16" t="inlineStr">
        <is>
          <t>Lab Consumables</t>
        </is>
      </c>
      <c r="D47" s="16" t="inlineStr">
        <is>
          <t>Terminal</t>
        </is>
      </c>
      <c r="E47" s="16" t="inlineStr">
        <is>
          <t>NO</t>
        </is>
      </c>
      <c r="F47" s="16" t="n"/>
      <c r="G47" s="16" t="inlineStr">
        <is>
          <t>MOTHERSON SUMI WIRING INDIA ( M274</t>
        </is>
      </c>
      <c r="H47" s="16" t="n">
        <v>72.26000000000001</v>
      </c>
      <c r="I47" s="16" t="n">
        <v>50</v>
      </c>
      <c r="J47" s="16" t="inlineStr">
        <is>
          <t>Yes</t>
        </is>
      </c>
      <c r="K47" s="16" t="n"/>
    </row>
    <row r="48" ht="15" customHeight="1" s="13">
      <c r="A48" s="16" t="inlineStr">
        <is>
          <t>7243/0311</t>
        </is>
      </c>
      <c r="B48" s="16" t="inlineStr">
        <is>
          <t>SE RUBBER BOOT CABLE O.D</t>
        </is>
      </c>
      <c r="C48" s="16" t="inlineStr">
        <is>
          <t>Lab Consumables</t>
        </is>
      </c>
      <c r="D48" s="16" t="inlineStr">
        <is>
          <t>Battery Cable</t>
        </is>
      </c>
      <c r="E48" s="16" t="inlineStr">
        <is>
          <t>NO</t>
        </is>
      </c>
      <c r="F48" s="16" t="n"/>
      <c r="G48" s="16" t="inlineStr">
        <is>
          <t>MOTHERSON SUMI WIRING INDIA ( M274</t>
        </is>
      </c>
      <c r="H48" s="16" t="n">
        <v>304.07</v>
      </c>
      <c r="I48" s="16" t="n">
        <v>50</v>
      </c>
      <c r="J48" s="16" t="inlineStr">
        <is>
          <t>Yes</t>
        </is>
      </c>
      <c r="K48" s="16" t="n"/>
    </row>
    <row r="49" ht="15" customHeight="1" s="13">
      <c r="A49" s="16" t="inlineStr">
        <is>
          <t>7243/0305</t>
        </is>
      </c>
      <c r="B49" s="16" t="inlineStr">
        <is>
          <t>RUBBER CAP FOR M10&amp;M12 RI Rev.Lel.-01</t>
        </is>
      </c>
      <c r="C49" s="16" t="inlineStr">
        <is>
          <t>Lab Consumables</t>
        </is>
      </c>
      <c r="D49" s="16" t="inlineStr">
        <is>
          <t>WH Misc</t>
        </is>
      </c>
      <c r="E49" s="16" t="inlineStr">
        <is>
          <t>NO</t>
        </is>
      </c>
      <c r="F49" s="16" t="inlineStr">
        <is>
          <t>L-17</t>
        </is>
      </c>
      <c r="G49" s="16" t="inlineStr">
        <is>
          <t>MOTHERSON SUMI WIRING INDIA ( M274</t>
        </is>
      </c>
      <c r="H49" s="16" t="n">
        <v>27.84</v>
      </c>
      <c r="I49" s="16" t="n">
        <v>50</v>
      </c>
      <c r="J49" s="16" t="inlineStr">
        <is>
          <t>Yes</t>
        </is>
      </c>
      <c r="K49" s="16" t="n"/>
    </row>
    <row r="50" ht="15" customHeight="1" s="13">
      <c r="A50" s="16" t="inlineStr">
        <is>
          <t>332/S1020</t>
        </is>
      </c>
      <c r="B50" s="16" t="inlineStr">
        <is>
          <t>BOLT AND WASHER 1/4UNC Rev.Lel.-01</t>
        </is>
      </c>
      <c r="C50" s="16" t="inlineStr">
        <is>
          <t>Lab Consumables</t>
        </is>
      </c>
      <c r="D50" s="16" t="inlineStr">
        <is>
          <t>WH Misc</t>
        </is>
      </c>
      <c r="E50" s="16" t="inlineStr">
        <is>
          <t>NO</t>
        </is>
      </c>
      <c r="F50" s="16" t="n"/>
      <c r="G50" s="16" t="inlineStr">
        <is>
          <t>MOTHERSON SUMI WIRING INDIA ( M274</t>
        </is>
      </c>
      <c r="H50" s="16" t="n">
        <v>30.85</v>
      </c>
      <c r="I50" s="16" t="n">
        <v>50</v>
      </c>
      <c r="J50" s="16" t="inlineStr">
        <is>
          <t>Yes</t>
        </is>
      </c>
      <c r="K50" s="16" t="n"/>
    </row>
    <row r="51" ht="15" customHeight="1" s="13">
      <c r="A51" s="16" t="inlineStr">
        <is>
          <t>401/U6865</t>
        </is>
      </c>
      <c r="B51" s="16" t="inlineStr">
        <is>
          <t>RUBBER CAP FOR M10 TERMINAL</t>
        </is>
      </c>
      <c r="C51" s="16" t="inlineStr">
        <is>
          <t>Lab Consumables</t>
        </is>
      </c>
      <c r="D51" s="16" t="inlineStr">
        <is>
          <t>Terminal</t>
        </is>
      </c>
      <c r="E51" s="16" t="inlineStr">
        <is>
          <t>NO</t>
        </is>
      </c>
      <c r="F51" s="16" t="n"/>
      <c r="G51" s="16" t="inlineStr">
        <is>
          <t>MOTHERSON SUMI WIRING INDIA ( M274</t>
        </is>
      </c>
      <c r="H51" s="16" t="n">
        <v>7.88</v>
      </c>
      <c r="I51" s="16" t="n">
        <v>50</v>
      </c>
      <c r="J51" s="16" t="inlineStr">
        <is>
          <t>Yes</t>
        </is>
      </c>
      <c r="K51" s="16" t="n"/>
    </row>
    <row r="52" ht="15" customHeight="1" s="13">
      <c r="A52" s="16" t="inlineStr">
        <is>
          <t>7243/0530</t>
        </is>
      </c>
      <c r="B52" s="16" t="inlineStr">
        <is>
          <t>Alternator term cover (+ve) RED</t>
        </is>
      </c>
      <c r="C52" s="16" t="inlineStr">
        <is>
          <t>Lab Consumables</t>
        </is>
      </c>
      <c r="D52" s="16" t="inlineStr">
        <is>
          <t>WH Misc</t>
        </is>
      </c>
      <c r="E52" s="16" t="inlineStr">
        <is>
          <t>NO</t>
        </is>
      </c>
      <c r="F52" s="16" t="n"/>
      <c r="G52" s="16" t="inlineStr">
        <is>
          <t>MOTHERSON SUMI WIRING INDIA ( M274</t>
        </is>
      </c>
      <c r="H52" s="16" t="n">
        <v>10.02</v>
      </c>
      <c r="I52" s="16" t="n">
        <v>50</v>
      </c>
      <c r="J52" s="16" t="inlineStr">
        <is>
          <t>Yes</t>
        </is>
      </c>
      <c r="K52" s="16" t="n"/>
    </row>
    <row r="53" ht="15" customHeight="1" s="13">
      <c r="A53" s="16" t="inlineStr">
        <is>
          <t>7000/3207</t>
        </is>
      </c>
      <c r="B53" s="16" t="inlineStr">
        <is>
          <t>SPLIT CONDUIT TUBING NC</t>
        </is>
      </c>
      <c r="C53" s="16" t="inlineStr">
        <is>
          <t>Lab Consumables</t>
        </is>
      </c>
      <c r="D53" s="16" t="inlineStr">
        <is>
          <t>WH Misc</t>
        </is>
      </c>
      <c r="E53" s="16" t="inlineStr">
        <is>
          <t>M</t>
        </is>
      </c>
      <c r="F53" s="16" t="n"/>
      <c r="G53" s="16" t="inlineStr">
        <is>
          <t>MOTHERSON SUMI WIRING INDIA ( M274</t>
        </is>
      </c>
      <c r="H53" s="16" t="n">
        <v>6.23</v>
      </c>
      <c r="I53" s="16" t="n">
        <v>100</v>
      </c>
      <c r="J53" s="16" t="inlineStr">
        <is>
          <t>Yes</t>
        </is>
      </c>
      <c r="K53" s="16" t="n"/>
    </row>
    <row r="54" ht="15" customHeight="1" s="13">
      <c r="A54" s="16" t="inlineStr">
        <is>
          <t>7205/1000</t>
        </is>
      </c>
      <c r="B54" s="16" t="inlineStr">
        <is>
          <t>10.0MM2 BROWN BOOTLACE FE Rev.Lel.-02</t>
        </is>
      </c>
      <c r="C54" s="16" t="inlineStr">
        <is>
          <t>Lab Consumables</t>
        </is>
      </c>
      <c r="D54" s="16" t="inlineStr">
        <is>
          <t>WH Misc</t>
        </is>
      </c>
      <c r="E54" s="16" t="inlineStr">
        <is>
          <t>NO</t>
        </is>
      </c>
      <c r="F54" s="16" t="n"/>
      <c r="G54" s="16" t="inlineStr">
        <is>
          <t>MOTHERSON SUMI WIRING INDIA ( M274</t>
        </is>
      </c>
      <c r="H54" s="16" t="n">
        <v>13.44</v>
      </c>
      <c r="I54" s="16" t="n">
        <v>50</v>
      </c>
      <c r="J54" s="16" t="inlineStr">
        <is>
          <t>Yes</t>
        </is>
      </c>
      <c r="K54" s="16" t="n"/>
    </row>
    <row r="55" ht="15" customHeight="1" s="13">
      <c r="A55" s="16" t="inlineStr">
        <is>
          <t>7207/2054</t>
        </is>
      </c>
      <c r="B55" s="16" t="inlineStr">
        <is>
          <t>RING TERMINAL M10 10.0-16 mmsq</t>
        </is>
      </c>
      <c r="C55" s="16" t="inlineStr">
        <is>
          <t>Lab Consumables</t>
        </is>
      </c>
      <c r="D55" s="16" t="inlineStr">
        <is>
          <t>Terminal</t>
        </is>
      </c>
      <c r="E55" s="16" t="inlineStr">
        <is>
          <t>NO</t>
        </is>
      </c>
      <c r="F55" s="16" t="n"/>
      <c r="G55" s="16" t="inlineStr">
        <is>
          <t>MOTHERSON SUMI WIRING INDIA ( M274</t>
        </is>
      </c>
      <c r="H55" s="16" t="n">
        <v>12.15</v>
      </c>
      <c r="I55" s="16" t="n">
        <v>50</v>
      </c>
      <c r="J55" s="16" t="inlineStr">
        <is>
          <t>Yes</t>
        </is>
      </c>
      <c r="K55" s="16" t="n"/>
    </row>
    <row r="56" ht="15" customHeight="1" s="13">
      <c r="A56" s="16" t="inlineStr">
        <is>
          <t>7207/1502</t>
        </is>
      </c>
      <c r="B56" s="16" t="inlineStr">
        <is>
          <t>RING TERMINAL M10 4.0-6.0</t>
        </is>
      </c>
      <c r="C56" s="16" t="inlineStr">
        <is>
          <t>Lab Consumables</t>
        </is>
      </c>
      <c r="D56" s="16" t="inlineStr">
        <is>
          <t>Terminal</t>
        </is>
      </c>
      <c r="E56" s="16" t="inlineStr">
        <is>
          <t>NO</t>
        </is>
      </c>
      <c r="F56" s="16" t="n"/>
      <c r="G56" s="16" t="inlineStr">
        <is>
          <t>MOTHERSON SUMI WIRING INDIA ( M274</t>
        </is>
      </c>
      <c r="H56" s="16" t="n">
        <v>19.83</v>
      </c>
      <c r="I56" s="16" t="n">
        <v>50</v>
      </c>
      <c r="J56" s="16" t="inlineStr">
        <is>
          <t>Yes</t>
        </is>
      </c>
      <c r="K56" s="16" t="n"/>
    </row>
    <row r="57" ht="15" customHeight="1" s="13">
      <c r="A57" s="16" t="inlineStr">
        <is>
          <t>7205/0250</t>
        </is>
      </c>
      <c r="B57" s="16" t="inlineStr">
        <is>
          <t>2.5MM2 Grey Bootlace ferrule Rev.Lel.-01</t>
        </is>
      </c>
      <c r="C57" s="16" t="inlineStr">
        <is>
          <t>Lab Consumables</t>
        </is>
      </c>
      <c r="D57" s="16" t="inlineStr">
        <is>
          <t>Ferrule</t>
        </is>
      </c>
      <c r="E57" s="16" t="inlineStr">
        <is>
          <t>NO</t>
        </is>
      </c>
      <c r="F57" s="16" t="n"/>
      <c r="G57" s="16" t="inlineStr">
        <is>
          <t>MOTHERSON SUMI WIRING INDIA ( M274</t>
        </is>
      </c>
      <c r="H57" s="16" t="n">
        <v>3.9</v>
      </c>
      <c r="I57" s="16" t="n">
        <v>50</v>
      </c>
      <c r="J57" s="16" t="inlineStr">
        <is>
          <t>Yes</t>
        </is>
      </c>
      <c r="K57" s="16" t="n"/>
    </row>
    <row r="58" ht="15" customHeight="1" s="13">
      <c r="A58" s="16" t="inlineStr">
        <is>
          <t>7207/1501</t>
        </is>
      </c>
      <c r="B58" s="16" t="inlineStr">
        <is>
          <t>10.7MM RING TERMINAL (1.0-2.5 CSA) Rev.Lel.-03</t>
        </is>
      </c>
      <c r="C58" s="16" t="inlineStr">
        <is>
          <t>Lab Consumables</t>
        </is>
      </c>
      <c r="D58" s="16" t="inlineStr">
        <is>
          <t>Terminal</t>
        </is>
      </c>
      <c r="E58" s="16" t="inlineStr">
        <is>
          <t>NO</t>
        </is>
      </c>
      <c r="F58" s="16" t="n"/>
      <c r="G58" s="16" t="inlineStr">
        <is>
          <t>MOTHERSON SUMI WIRING INDIA ( M274</t>
        </is>
      </c>
      <c r="H58" s="16" t="n">
        <v>13.44</v>
      </c>
      <c r="I58" s="16" t="n">
        <v>50</v>
      </c>
      <c r="J58" s="16" t="inlineStr">
        <is>
          <t>Yes</t>
        </is>
      </c>
      <c r="K58" s="16" t="n"/>
    </row>
    <row r="59" ht="15" customHeight="1" s="13">
      <c r="A59" s="16" t="inlineStr">
        <is>
          <t>7208/1079</t>
        </is>
      </c>
      <c r="B59" s="16" t="inlineStr">
        <is>
          <t>12 WAY DT04 PIN HOUSING Rev.Lel.-03</t>
        </is>
      </c>
      <c r="C59" s="16" t="inlineStr">
        <is>
          <t>Lab Consumables</t>
        </is>
      </c>
      <c r="D59" s="16" t="inlineStr">
        <is>
          <t>WH Misc</t>
        </is>
      </c>
      <c r="E59" s="16" t="inlineStr">
        <is>
          <t>NO</t>
        </is>
      </c>
      <c r="F59" s="16" t="n"/>
      <c r="G59" s="16" t="inlineStr">
        <is>
          <t>MOTHERSON SUMI WIRING INDIA ( M274</t>
        </is>
      </c>
      <c r="H59" s="16" t="n">
        <v>319.54</v>
      </c>
      <c r="I59" s="16" t="n">
        <v>50</v>
      </c>
      <c r="J59" s="16" t="inlineStr">
        <is>
          <t>Yes</t>
        </is>
      </c>
      <c r="K59" s="16" t="n"/>
    </row>
    <row r="60" ht="15" customHeight="1" s="13">
      <c r="A60" s="16" t="inlineStr">
        <is>
          <t>7207/1304</t>
        </is>
      </c>
      <c r="B60" s="16" t="inlineStr">
        <is>
          <t>Ring Cable Lug M6 16-25-Rev.Lel.-01</t>
        </is>
      </c>
      <c r="C60" s="16" t="inlineStr">
        <is>
          <t>Lab Consumables</t>
        </is>
      </c>
      <c r="D60" s="16" t="inlineStr">
        <is>
          <t>Battery Cable</t>
        </is>
      </c>
      <c r="E60" s="16" t="inlineStr">
        <is>
          <t>NO</t>
        </is>
      </c>
      <c r="F60" s="16" t="n"/>
      <c r="G60" s="16" t="inlineStr">
        <is>
          <t>MOTHERSON SUMI WIRING INDIA ( M274</t>
        </is>
      </c>
      <c r="H60" s="16" t="n">
        <v>78.90000000000001</v>
      </c>
      <c r="I60" s="16" t="n">
        <v>50</v>
      </c>
      <c r="J60" s="16" t="inlineStr">
        <is>
          <t>Yes</t>
        </is>
      </c>
      <c r="K60" s="16" t="n"/>
    </row>
    <row r="61" ht="15" customHeight="1" s="13">
      <c r="A61" s="16" t="inlineStr">
        <is>
          <t>7207/1405</t>
        </is>
      </c>
      <c r="B61" s="16" t="inlineStr">
        <is>
          <t>RING LUG TERMINAL M8 16.0-25.0</t>
        </is>
      </c>
      <c r="C61" s="16" t="inlineStr">
        <is>
          <t>Lab Consumables</t>
        </is>
      </c>
      <c r="D61" s="16" t="inlineStr">
        <is>
          <t>Terminal</t>
        </is>
      </c>
      <c r="E61" s="16" t="inlineStr">
        <is>
          <t>NO</t>
        </is>
      </c>
      <c r="F61" s="16" t="n"/>
      <c r="G61" s="16" t="inlineStr">
        <is>
          <t>MOTHERSON SUMI WIRING INDIA ( M274</t>
        </is>
      </c>
      <c r="H61" s="16" t="n">
        <v>80.40000000000001</v>
      </c>
      <c r="I61" s="16" t="n">
        <v>50</v>
      </c>
      <c r="J61" s="16" t="inlineStr">
        <is>
          <t>Yes</t>
        </is>
      </c>
      <c r="K61" s="16" t="n"/>
    </row>
    <row r="62" ht="15" customHeight="1" s="13">
      <c r="A62" s="16" t="inlineStr">
        <is>
          <t>7208/1081</t>
        </is>
      </c>
      <c r="B62" s="16" t="inlineStr">
        <is>
          <t>M10 Ring Lug Terminal 70-95mm²</t>
        </is>
      </c>
      <c r="C62" s="16" t="inlineStr">
        <is>
          <t>Lab Consumables</t>
        </is>
      </c>
      <c r="D62" s="16" t="inlineStr">
        <is>
          <t>Terminal</t>
        </is>
      </c>
      <c r="E62" s="16" t="inlineStr">
        <is>
          <t>NO</t>
        </is>
      </c>
      <c r="F62" s="16" t="n"/>
      <c r="G62" s="16" t="inlineStr">
        <is>
          <t>MOTHERSON SUMI WIRING INDIA ( M274</t>
        </is>
      </c>
      <c r="H62" s="16" t="n">
        <v>346.82</v>
      </c>
      <c r="I62" s="16" t="n">
        <v>50</v>
      </c>
      <c r="J62" s="16" t="inlineStr">
        <is>
          <t>Yes</t>
        </is>
      </c>
      <c r="K62" s="16" t="n"/>
    </row>
    <row r="63" ht="15" customHeight="1" s="13">
      <c r="A63" s="16" t="inlineStr">
        <is>
          <t>7207/1510</t>
        </is>
      </c>
      <c r="B63" s="16" t="inlineStr">
        <is>
          <t>GHT 35E 4WD PAI</t>
        </is>
      </c>
      <c r="C63" s="16" t="inlineStr">
        <is>
          <t>Lab Consumables</t>
        </is>
      </c>
      <c r="D63" s="16" t="inlineStr">
        <is>
          <t>WH Misc</t>
        </is>
      </c>
      <c r="E63" s="16" t="inlineStr">
        <is>
          <t>NO</t>
        </is>
      </c>
      <c r="F63" s="16" t="n"/>
      <c r="G63" s="16" t="inlineStr">
        <is>
          <t>MOTHERSON SUMI WIRING INDIA ( M274</t>
        </is>
      </c>
      <c r="H63" s="16" t="n">
        <v>26.89</v>
      </c>
      <c r="I63" s="16" t="n">
        <v>50</v>
      </c>
      <c r="J63" s="16" t="inlineStr">
        <is>
          <t>Yes</t>
        </is>
      </c>
      <c r="K63" s="16" t="n"/>
    </row>
    <row r="64" ht="15" customHeight="1" s="13">
      <c r="A64" s="16" t="inlineStr">
        <is>
          <t>7208/1129</t>
        </is>
      </c>
      <c r="B64" s="16" t="inlineStr">
        <is>
          <t>M8 RING LUG TERMINAL 16MM</t>
        </is>
      </c>
      <c r="C64" s="16" t="inlineStr">
        <is>
          <t>Lab Consumables</t>
        </is>
      </c>
      <c r="D64" s="16" t="inlineStr">
        <is>
          <t>Terminal</t>
        </is>
      </c>
      <c r="E64" s="16" t="inlineStr">
        <is>
          <t>NO</t>
        </is>
      </c>
      <c r="F64" s="16" t="n"/>
      <c r="G64" s="16" t="inlineStr">
        <is>
          <t>MOTHERSON SUMI WIRING INDIA ( M274</t>
        </is>
      </c>
      <c r="H64" s="16" t="n">
        <v>167.57</v>
      </c>
      <c r="I64" s="16" t="n">
        <v>50</v>
      </c>
      <c r="J64" s="16" t="inlineStr">
        <is>
          <t>Yes</t>
        </is>
      </c>
      <c r="K64" s="16" t="n"/>
    </row>
    <row r="65" ht="15" customHeight="1" s="13">
      <c r="A65" s="16" t="inlineStr">
        <is>
          <t>7208/1007</t>
        </is>
      </c>
      <c r="B65" s="16" t="inlineStr">
        <is>
          <t>BATTERY CLAMP HC NEG Rev.Lel.-03</t>
        </is>
      </c>
      <c r="C65" s="16" t="inlineStr">
        <is>
          <t>Lab Consumables</t>
        </is>
      </c>
      <c r="D65" s="16" t="inlineStr">
        <is>
          <t>WH Misc</t>
        </is>
      </c>
      <c r="E65" s="16" t="inlineStr">
        <is>
          <t>NO</t>
        </is>
      </c>
      <c r="F65" s="16" t="n"/>
      <c r="G65" s="16" t="inlineStr">
        <is>
          <t>MOTHERSON SUMI WIRING INDIA ( M274</t>
        </is>
      </c>
      <c r="H65" s="16" t="n">
        <v>286.25</v>
      </c>
      <c r="I65" s="16" t="n">
        <v>50</v>
      </c>
      <c r="J65" s="16" t="inlineStr">
        <is>
          <t>Yes</t>
        </is>
      </c>
      <c r="K65" s="16" t="n"/>
    </row>
    <row r="66" ht="15" customHeight="1" s="13">
      <c r="A66" s="16" t="inlineStr">
        <is>
          <t>7207/1316</t>
        </is>
      </c>
      <c r="B66" s="16" t="inlineStr">
        <is>
          <t>OUNTERWEIGHT 35E 4WD PAI</t>
        </is>
      </c>
      <c r="C66" s="16" t="inlineStr">
        <is>
          <t>Lab Consumables</t>
        </is>
      </c>
      <c r="D66" s="16" t="inlineStr">
        <is>
          <t>WH Misc</t>
        </is>
      </c>
      <c r="E66" s="16" t="inlineStr">
        <is>
          <t>NO</t>
        </is>
      </c>
      <c r="F66" s="16" t="n"/>
      <c r="G66" s="16" t="inlineStr">
        <is>
          <t>MOTHERSON SUMI WIRING INDIA ( M274</t>
        </is>
      </c>
      <c r="H66" s="16" t="n">
        <v>48.29</v>
      </c>
      <c r="I66" s="16" t="n">
        <v>50</v>
      </c>
      <c r="J66" s="16" t="inlineStr">
        <is>
          <t>Yes</t>
        </is>
      </c>
      <c r="K66" s="16" t="n"/>
    </row>
    <row r="67" ht="15" customHeight="1" s="13">
      <c r="A67" s="16" t="inlineStr">
        <is>
          <t>7208/1022</t>
        </is>
      </c>
      <c r="B67" s="16" t="inlineStr">
        <is>
          <t>M8 RING TERM 70MM</t>
        </is>
      </c>
      <c r="C67" s="16" t="inlineStr">
        <is>
          <t>Lab Consumables</t>
        </is>
      </c>
      <c r="D67" s="16" t="inlineStr">
        <is>
          <t>WH Misc</t>
        </is>
      </c>
      <c r="E67" s="16" t="inlineStr">
        <is>
          <t>NO</t>
        </is>
      </c>
      <c r="F67" s="16" t="n"/>
      <c r="G67" s="16" t="inlineStr">
        <is>
          <t>MOTHERSON SUMI WIRING INDIA ( M274</t>
        </is>
      </c>
      <c r="H67" s="16" t="n">
        <v>9909</v>
      </c>
      <c r="I67" s="16" t="n">
        <v>50</v>
      </c>
      <c r="J67" s="16" t="inlineStr">
        <is>
          <t>Yes</t>
        </is>
      </c>
      <c r="K67" s="16" t="n"/>
    </row>
    <row r="68" ht="15" customHeight="1" s="13">
      <c r="A68" s="16" t="inlineStr">
        <is>
          <t>7207/1419</t>
        </is>
      </c>
      <c r="B68" s="16" t="inlineStr">
        <is>
          <t>RING TERMINAL M8 10.0-16.0</t>
        </is>
      </c>
      <c r="C68" s="16" t="inlineStr">
        <is>
          <t>Lab Consumables</t>
        </is>
      </c>
      <c r="D68" s="16" t="inlineStr">
        <is>
          <t>Terminal</t>
        </is>
      </c>
      <c r="E68" s="16" t="inlineStr">
        <is>
          <t>NO</t>
        </is>
      </c>
      <c r="F68" s="16" t="n"/>
      <c r="G68" s="16" t="inlineStr">
        <is>
          <t>MOTHERSON SUMI WIRING INDIA ( M274</t>
        </is>
      </c>
      <c r="H68" s="16" t="n">
        <v>50.93</v>
      </c>
      <c r="I68" s="16" t="n">
        <v>50</v>
      </c>
      <c r="J68" s="16" t="inlineStr">
        <is>
          <t>Yes</t>
        </is>
      </c>
      <c r="K68" s="16" t="n"/>
    </row>
    <row r="69" ht="15" customHeight="1" s="13">
      <c r="A69" s="16" t="inlineStr">
        <is>
          <t>7207/1505</t>
        </is>
      </c>
      <c r="B69" s="16" t="inlineStr">
        <is>
          <t>RING TERMINAL M10 16-25MM</t>
        </is>
      </c>
      <c r="C69" s="16" t="inlineStr">
        <is>
          <t>Lab Consumables</t>
        </is>
      </c>
      <c r="D69" s="16" t="inlineStr">
        <is>
          <t>Terminal</t>
        </is>
      </c>
      <c r="E69" s="16" t="inlineStr">
        <is>
          <t>NO</t>
        </is>
      </c>
      <c r="F69" s="16" t="n"/>
      <c r="G69" s="16" t="inlineStr">
        <is>
          <t>MOTHERSON SUMI WIRING INDIA ( M274</t>
        </is>
      </c>
      <c r="H69" s="16" t="n">
        <v>48.75</v>
      </c>
      <c r="I69" s="16" t="n">
        <v>50</v>
      </c>
      <c r="J69" s="16" t="inlineStr">
        <is>
          <t>Yes</t>
        </is>
      </c>
      <c r="K69" s="16" t="n"/>
    </row>
    <row r="70" ht="15" customHeight="1" s="13">
      <c r="A70" s="16" t="inlineStr">
        <is>
          <t>7208/1020</t>
        </is>
      </c>
      <c r="B70" s="16" t="inlineStr">
        <is>
          <t>M12 RING TERM 70MM-Rev.Lel.-03</t>
        </is>
      </c>
      <c r="C70" s="16" t="inlineStr">
        <is>
          <t>Lab Consumables</t>
        </is>
      </c>
      <c r="D70" s="16" t="inlineStr">
        <is>
          <t>WH Misc</t>
        </is>
      </c>
      <c r="E70" s="16" t="inlineStr">
        <is>
          <t>NO</t>
        </is>
      </c>
      <c r="F70" s="16" t="n"/>
      <c r="G70" s="16" t="inlineStr">
        <is>
          <t>MOTHERSON SUMI WIRING INDIA ( M274</t>
        </is>
      </c>
      <c r="H70" s="16" t="n">
        <v>261.09</v>
      </c>
      <c r="I70" s="16" t="n">
        <v>50</v>
      </c>
      <c r="J70" s="16" t="inlineStr">
        <is>
          <t>Yes</t>
        </is>
      </c>
      <c r="K70" s="16" t="n"/>
    </row>
    <row r="71" ht="15" customHeight="1" s="13">
      <c r="A71" s="16" t="inlineStr">
        <is>
          <t>7208/1002</t>
        </is>
      </c>
      <c r="B71" s="16" t="inlineStr">
        <is>
          <t>POSITIVE BATT LUG WITH M8 CUBE</t>
        </is>
      </c>
      <c r="C71" s="16" t="inlineStr">
        <is>
          <t>Lab Consumables</t>
        </is>
      </c>
      <c r="D71" s="16" t="inlineStr">
        <is>
          <t>Lug</t>
        </is>
      </c>
      <c r="E71" s="16" t="inlineStr">
        <is>
          <t>NO</t>
        </is>
      </c>
      <c r="F71" s="16" t="n"/>
      <c r="G71" s="16" t="inlineStr">
        <is>
          <t>MOTHERSON SUMI WIRING INDIA ( M274</t>
        </is>
      </c>
      <c r="H71" s="16" t="n">
        <v>766.62</v>
      </c>
      <c r="I71" s="16" t="n">
        <v>50</v>
      </c>
      <c r="J71" s="16" t="inlineStr">
        <is>
          <t>Yes</t>
        </is>
      </c>
      <c r="K71" s="16" t="n"/>
    </row>
    <row r="72" ht="15" customHeight="1" s="13">
      <c r="A72" s="16" t="inlineStr">
        <is>
          <t>7208/2017</t>
        </is>
      </c>
      <c r="B72" s="16" t="inlineStr">
        <is>
          <t>OUNTERWEIGHT 35E 4WD PAI</t>
        </is>
      </c>
      <c r="C72" s="16" t="inlineStr">
        <is>
          <t>Lab Consumables</t>
        </is>
      </c>
      <c r="D72" s="16" t="inlineStr">
        <is>
          <t>WH Misc</t>
        </is>
      </c>
      <c r="E72" s="16" t="inlineStr">
        <is>
          <t>NO</t>
        </is>
      </c>
      <c r="F72" s="16" t="n"/>
      <c r="G72" s="16" t="inlineStr">
        <is>
          <t>MOTHERSON SUMI WIRING INDIA ( M274</t>
        </is>
      </c>
      <c r="H72" s="16" t="n">
        <v>397.48</v>
      </c>
      <c r="I72" s="16" t="n">
        <v>50</v>
      </c>
      <c r="J72" s="16" t="inlineStr">
        <is>
          <t>Yes</t>
        </is>
      </c>
      <c r="K72" s="16" t="n"/>
    </row>
    <row r="73" ht="15" customHeight="1" s="13">
      <c r="A73" s="16" t="inlineStr">
        <is>
          <t>7208/1060</t>
        </is>
      </c>
      <c r="B73" s="16" t="inlineStr">
        <is>
          <t>M10 RING LUG 35MM</t>
        </is>
      </c>
      <c r="C73" s="16" t="inlineStr">
        <is>
          <t>Lab Consumables</t>
        </is>
      </c>
      <c r="D73" s="16" t="inlineStr">
        <is>
          <t>Lug</t>
        </is>
      </c>
      <c r="E73" s="16" t="inlineStr">
        <is>
          <t>NO</t>
        </is>
      </c>
      <c r="F73" s="16" t="n"/>
      <c r="G73" s="16" t="inlineStr">
        <is>
          <t>MOTHERSON SUMI WIRING INDIA ( M274</t>
        </is>
      </c>
      <c r="H73" s="16" t="n">
        <v>99.37</v>
      </c>
      <c r="I73" s="16" t="n">
        <v>50</v>
      </c>
      <c r="J73" s="16" t="inlineStr">
        <is>
          <t>Yes</t>
        </is>
      </c>
      <c r="K73" s="16" t="n"/>
    </row>
    <row r="74" ht="15" customHeight="1" s="13">
      <c r="A74" s="16" t="inlineStr">
        <is>
          <t>7208/1050</t>
        </is>
      </c>
      <c r="B74" s="16" t="inlineStr">
        <is>
          <t>OUNTERWEIGHT 35E 4WD PAI</t>
        </is>
      </c>
      <c r="C74" s="16" t="inlineStr">
        <is>
          <t>Lab Consumables</t>
        </is>
      </c>
      <c r="D74" s="16" t="inlineStr">
        <is>
          <t>WH Misc</t>
        </is>
      </c>
      <c r="E74" s="16" t="inlineStr">
        <is>
          <t>NO</t>
        </is>
      </c>
      <c r="F74" s="16" t="n"/>
      <c r="G74" s="16" t="inlineStr">
        <is>
          <t>MOTHERSON SUMI WIRING INDIA ( M274</t>
        </is>
      </c>
      <c r="H74" s="16" t="n">
        <v>93.52</v>
      </c>
      <c r="I74" s="16" t="n">
        <v>50</v>
      </c>
      <c r="J74" s="16" t="inlineStr">
        <is>
          <t>Yes</t>
        </is>
      </c>
      <c r="K74" s="16" t="n"/>
    </row>
    <row r="75" ht="15" customHeight="1" s="13">
      <c r="A75" s="16" t="inlineStr">
        <is>
          <t>7208/1048</t>
        </is>
      </c>
      <c r="B75" s="16" t="inlineStr">
        <is>
          <t>M8 RING LUG 35MM-Rev.Lel.-01</t>
        </is>
      </c>
      <c r="C75" s="16" t="inlineStr">
        <is>
          <t>Lab Consumables</t>
        </is>
      </c>
      <c r="D75" s="16" t="inlineStr">
        <is>
          <t>Lug</t>
        </is>
      </c>
      <c r="E75" s="16" t="inlineStr">
        <is>
          <t>NO</t>
        </is>
      </c>
      <c r="F75" s="16" t="n"/>
      <c r="G75" s="16" t="inlineStr">
        <is>
          <t>MOTHERSON SUMI WIRING INDIA ( M274</t>
        </is>
      </c>
      <c r="H75" s="16" t="n">
        <v>87.68000000000001</v>
      </c>
      <c r="I75" s="16" t="n">
        <v>50</v>
      </c>
      <c r="J75" s="16" t="inlineStr">
        <is>
          <t>Yes</t>
        </is>
      </c>
      <c r="K75" s="16" t="n"/>
    </row>
    <row r="76" ht="15" customHeight="1" s="13">
      <c r="A76" s="16" t="inlineStr">
        <is>
          <t>7207/1406</t>
        </is>
      </c>
      <c r="B76" s="16" t="inlineStr">
        <is>
          <t>ING LUG TERMINAL M8 25-35</t>
        </is>
      </c>
      <c r="C76" s="16" t="inlineStr">
        <is>
          <t>Lab Consumables</t>
        </is>
      </c>
      <c r="D76" s="16" t="inlineStr">
        <is>
          <t>Terminal</t>
        </is>
      </c>
      <c r="E76" s="16" t="inlineStr">
        <is>
          <t>NO</t>
        </is>
      </c>
      <c r="F76" s="16" t="n"/>
      <c r="G76" s="16" t="inlineStr">
        <is>
          <t>MOTHERSON SUMI WIRING INDIA ( M274</t>
        </is>
      </c>
      <c r="H76" s="16" t="n">
        <v>97.5</v>
      </c>
      <c r="I76" s="16" t="n">
        <v>50</v>
      </c>
      <c r="J76" s="16" t="inlineStr">
        <is>
          <t>Yes</t>
        </is>
      </c>
      <c r="K76" s="16" t="n"/>
    </row>
    <row r="77" ht="15" customHeight="1" s="13">
      <c r="A77" s="16" t="inlineStr">
        <is>
          <t>7238/0002</t>
        </is>
      </c>
      <c r="B77" s="16" t="inlineStr">
        <is>
          <t>8 Way MDK3 Radio Speaker Fem Hsg</t>
        </is>
      </c>
      <c r="C77" s="16" t="inlineStr">
        <is>
          <t>Lab Consumables</t>
        </is>
      </c>
      <c r="D77" s="16" t="inlineStr">
        <is>
          <t>WH Misc</t>
        </is>
      </c>
      <c r="E77" s="16" t="inlineStr">
        <is>
          <t>NO</t>
        </is>
      </c>
      <c r="F77" s="16" t="inlineStr">
        <is>
          <t>L-3</t>
        </is>
      </c>
      <c r="G77" s="16" t="inlineStr">
        <is>
          <t>MOTHERSON SUMI WIRING INDIA ( M274</t>
        </is>
      </c>
      <c r="H77" s="16" t="n">
        <v>44.1</v>
      </c>
      <c r="I77" s="16" t="n">
        <v>20</v>
      </c>
      <c r="J77" s="16" t="inlineStr">
        <is>
          <t>Yes</t>
        </is>
      </c>
      <c r="K77" s="16" t="n"/>
    </row>
    <row r="78" ht="15" customHeight="1" s="13">
      <c r="A78" s="16" t="inlineStr">
        <is>
          <t>7238/0003</t>
        </is>
      </c>
      <c r="B78" s="16" t="inlineStr">
        <is>
          <t>8 Way MDK3 Radio Power Fem Hsg</t>
        </is>
      </c>
      <c r="C78" s="16" t="inlineStr">
        <is>
          <t>Lab Consumables</t>
        </is>
      </c>
      <c r="D78" s="16" t="inlineStr">
        <is>
          <t>WH Misc</t>
        </is>
      </c>
      <c r="E78" s="16" t="inlineStr">
        <is>
          <t>NO</t>
        </is>
      </c>
      <c r="F78" s="16" t="inlineStr">
        <is>
          <t>L-2</t>
        </is>
      </c>
      <c r="G78" s="16" t="inlineStr">
        <is>
          <t>MOTHERSON SUMI WIRING INDIA ( M274</t>
        </is>
      </c>
      <c r="H78" s="16" t="n">
        <v>44.1</v>
      </c>
      <c r="I78" s="16" t="n">
        <v>25</v>
      </c>
      <c r="J78" s="16" t="inlineStr">
        <is>
          <t>Yes</t>
        </is>
      </c>
      <c r="K78" s="16" t="n"/>
    </row>
    <row r="79" ht="15" customHeight="1" s="13">
      <c r="A79" s="16" t="inlineStr">
        <is>
          <t>7214/0002</t>
        </is>
      </c>
      <c r="B79" s="16" t="inlineStr">
        <is>
          <t>4 WAY HW090 MALE HSG</t>
        </is>
      </c>
      <c r="C79" s="16" t="inlineStr">
        <is>
          <t>Lab Consumables</t>
        </is>
      </c>
      <c r="D79" s="16" t="inlineStr">
        <is>
          <t>WH Misc</t>
        </is>
      </c>
      <c r="E79" s="16" t="inlineStr">
        <is>
          <t>NO</t>
        </is>
      </c>
      <c r="F79" s="16" t="inlineStr">
        <is>
          <t>L-9</t>
        </is>
      </c>
      <c r="G79" s="16" t="inlineStr">
        <is>
          <t>MOTHERSON SUMI WIRING INDIA ( M274</t>
        </is>
      </c>
      <c r="H79" s="16" t="n">
        <v>14.38</v>
      </c>
      <c r="I79" s="16" t="n">
        <v>14</v>
      </c>
      <c r="J79" s="16" t="inlineStr">
        <is>
          <t>Yes</t>
        </is>
      </c>
      <c r="K79" s="16" t="n"/>
    </row>
    <row r="80" ht="15" customHeight="1" s="13">
      <c r="A80" s="16" t="inlineStr">
        <is>
          <t>7216/0001</t>
        </is>
      </c>
      <c r="B80" s="16" t="inlineStr">
        <is>
          <t>6 Way HW090 Socket Housing</t>
        </is>
      </c>
      <c r="C80" s="16" t="inlineStr">
        <is>
          <t>Lab Consumables</t>
        </is>
      </c>
      <c r="D80" s="16" t="inlineStr">
        <is>
          <t>WH Misc</t>
        </is>
      </c>
      <c r="E80" s="16" t="inlineStr">
        <is>
          <t>NO</t>
        </is>
      </c>
      <c r="F80" s="16" t="inlineStr">
        <is>
          <t>L-15</t>
        </is>
      </c>
      <c r="G80" s="16" t="inlineStr">
        <is>
          <t>MOTHERSON SUMI WIRING INDIA ( M274</t>
        </is>
      </c>
      <c r="H80" s="16" t="n">
        <v>35.27</v>
      </c>
      <c r="I80" s="16" t="n">
        <v>19</v>
      </c>
      <c r="J80" s="16" t="inlineStr">
        <is>
          <t>Yes</t>
        </is>
      </c>
      <c r="K80" s="16" t="n"/>
    </row>
    <row r="81" ht="15" customHeight="1" s="13">
      <c r="A81" s="16" t="inlineStr">
        <is>
          <t>7216/0002</t>
        </is>
      </c>
      <c r="B81" s="16" t="inlineStr">
        <is>
          <t>6 Way HW090 Pin Housing</t>
        </is>
      </c>
      <c r="C81" s="16" t="inlineStr">
        <is>
          <t>Lab Consumables</t>
        </is>
      </c>
      <c r="D81" s="16" t="inlineStr">
        <is>
          <t>WH Misc</t>
        </is>
      </c>
      <c r="E81" s="16" t="inlineStr">
        <is>
          <t>NO</t>
        </is>
      </c>
      <c r="F81" s="16" t="inlineStr">
        <is>
          <t>L-2</t>
        </is>
      </c>
      <c r="G81" s="16" t="inlineStr">
        <is>
          <t>MOTHERSON SUMI WIRING INDIA ( M274</t>
        </is>
      </c>
      <c r="H81" s="16" t="n">
        <v>25.93</v>
      </c>
      <c r="I81" s="16" t="n">
        <v>19</v>
      </c>
      <c r="J81" s="16" t="inlineStr">
        <is>
          <t>Yes</t>
        </is>
      </c>
      <c r="K81" s="16" t="n"/>
    </row>
    <row r="82" ht="15" customHeight="1" s="13">
      <c r="A82" s="16" t="inlineStr">
        <is>
          <t>7211/0026</t>
        </is>
      </c>
      <c r="B82" s="16" t="inlineStr">
        <is>
          <t>1 WAY TS312 FEM HSG SEALED -Rev.Lel.-01</t>
        </is>
      </c>
      <c r="C82" s="16" t="inlineStr">
        <is>
          <t>Lab Consumables</t>
        </is>
      </c>
      <c r="D82" s="16" t="inlineStr">
        <is>
          <t>Wire Seal</t>
        </is>
      </c>
      <c r="E82" s="16" t="inlineStr">
        <is>
          <t>NO</t>
        </is>
      </c>
      <c r="F82" s="16" t="inlineStr">
        <is>
          <t>BIN -6-04</t>
        </is>
      </c>
      <c r="G82" s="16" t="inlineStr">
        <is>
          <t>MOTHERSON SUMI WIRING INDIA ( M274</t>
        </is>
      </c>
      <c r="H82" s="16" t="n">
        <v>42.09</v>
      </c>
      <c r="I82" s="16" t="n">
        <v>14</v>
      </c>
      <c r="J82" s="16" t="inlineStr">
        <is>
          <t>Yes</t>
        </is>
      </c>
      <c r="K82" s="16" t="n"/>
    </row>
    <row r="83" ht="15" customHeight="1" s="13">
      <c r="A83" s="16" t="inlineStr">
        <is>
          <t>7243/0282</t>
        </is>
      </c>
      <c r="B83" s="16" t="inlineStr">
        <is>
          <t>Adaptor 6 Way TYCO GET064Frankische</t>
        </is>
      </c>
      <c r="C83" s="16" t="inlineStr">
        <is>
          <t>Lab Consumables</t>
        </is>
      </c>
      <c r="D83" s="16" t="inlineStr">
        <is>
          <t>WH Misc</t>
        </is>
      </c>
      <c r="E83" s="16" t="inlineStr">
        <is>
          <t>NO</t>
        </is>
      </c>
      <c r="F83" s="16" t="inlineStr">
        <is>
          <t>L-12</t>
        </is>
      </c>
      <c r="G83" s="16" t="inlineStr">
        <is>
          <t>MOTHERSON SUMI WIRING INDIA ( M274</t>
        </is>
      </c>
      <c r="H83" s="16" t="n">
        <v>29.04</v>
      </c>
      <c r="I83" s="16" t="n">
        <v>7</v>
      </c>
      <c r="J83" s="16" t="inlineStr">
        <is>
          <t>Yes</t>
        </is>
      </c>
      <c r="K83" s="16" t="n"/>
    </row>
    <row r="84" ht="15" customHeight="1" s="13">
      <c r="A84" s="16" t="inlineStr">
        <is>
          <t>7243/0383</t>
        </is>
      </c>
      <c r="B84" s="16" t="inlineStr">
        <is>
          <t>HDP Size 24 L017 Straight Adapter NC20/28</t>
        </is>
      </c>
      <c r="C84" s="16" t="inlineStr">
        <is>
          <t>Lab Consumables</t>
        </is>
      </c>
      <c r="D84" s="16" t="inlineStr">
        <is>
          <t>WH Misc</t>
        </is>
      </c>
      <c r="E84" s="16" t="inlineStr">
        <is>
          <t>NO</t>
        </is>
      </c>
      <c r="F84" s="16" t="inlineStr">
        <is>
          <t>L-15</t>
        </is>
      </c>
      <c r="G84" s="16" t="inlineStr">
        <is>
          <t>MOTHERSON SUMI WIRING INDIA ( M274</t>
        </is>
      </c>
      <c r="H84" s="16" t="n">
        <v>288.84</v>
      </c>
      <c r="I84" s="16" t="n">
        <v>10</v>
      </c>
      <c r="J84" s="16" t="inlineStr">
        <is>
          <t>Yes</t>
        </is>
      </c>
      <c r="K84" s="16" t="n"/>
    </row>
    <row r="85" ht="15" customHeight="1" s="13">
      <c r="A85" s="16" t="inlineStr">
        <is>
          <t>7243/0318</t>
        </is>
      </c>
      <c r="B85" s="16" t="inlineStr">
        <is>
          <t>HDP Size 18 L017 Straight Adapter NC16/20</t>
        </is>
      </c>
      <c r="C85" s="16" t="inlineStr">
        <is>
          <t>Lab Consumables</t>
        </is>
      </c>
      <c r="D85" s="16" t="inlineStr">
        <is>
          <t>WH Misc</t>
        </is>
      </c>
      <c r="E85" s="16" t="inlineStr">
        <is>
          <t>NO</t>
        </is>
      </c>
      <c r="F85" s="16" t="inlineStr">
        <is>
          <t>L-12</t>
        </is>
      </c>
      <c r="G85" s="16" t="inlineStr">
        <is>
          <t>MOTHERSON SUMI WIRING INDIA ( M274</t>
        </is>
      </c>
      <c r="H85" s="16" t="n">
        <v>271.33</v>
      </c>
      <c r="I85" s="16" t="n">
        <v>10</v>
      </c>
      <c r="J85" s="16" t="inlineStr">
        <is>
          <t>Yes</t>
        </is>
      </c>
      <c r="K85" s="16" t="n"/>
    </row>
    <row r="86" ht="15" customHeight="1" s="13">
      <c r="A86" s="16" t="inlineStr">
        <is>
          <t>7243/0323</t>
        </is>
      </c>
      <c r="B86" s="16" t="inlineStr">
        <is>
          <t>HDP Size 24 L017 Elbow Adapter NC20/32</t>
        </is>
      </c>
      <c r="C86" s="16" t="inlineStr">
        <is>
          <t>Lab Consumables</t>
        </is>
      </c>
      <c r="D86" s="16" t="inlineStr">
        <is>
          <t>WH Misc</t>
        </is>
      </c>
      <c r="E86" s="16" t="inlineStr">
        <is>
          <t>NO</t>
        </is>
      </c>
      <c r="F86" s="16" t="inlineStr">
        <is>
          <t>EMC-06</t>
        </is>
      </c>
      <c r="G86" s="16" t="inlineStr">
        <is>
          <t>MOTHERSON SUMI WIRING INDIA ( M274</t>
        </is>
      </c>
      <c r="H86" s="16" t="n">
        <v>262.13</v>
      </c>
      <c r="I86" s="16" t="n">
        <v>17</v>
      </c>
      <c r="J86" s="16" t="inlineStr">
        <is>
          <t>Yes</t>
        </is>
      </c>
      <c r="K86" s="16" t="n"/>
    </row>
    <row r="87" ht="15" customHeight="1" s="13">
      <c r="A87" s="16" t="inlineStr">
        <is>
          <t>7243/0273</t>
        </is>
      </c>
      <c r="B87" s="16" t="inlineStr">
        <is>
          <t>1</t>
        </is>
      </c>
      <c r="C87" s="16" t="inlineStr">
        <is>
          <t>Lab Consumables</t>
        </is>
      </c>
      <c r="D87" s="16" t="inlineStr">
        <is>
          <t>WH Misc</t>
        </is>
      </c>
      <c r="E87" s="16" t="inlineStr">
        <is>
          <t>NO</t>
        </is>
      </c>
      <c r="F87" s="16" t="inlineStr">
        <is>
          <t>L-12</t>
        </is>
      </c>
      <c r="G87" s="16" t="inlineStr">
        <is>
          <t>MOTHERSON SUMI WIRING INDIA ( M274</t>
        </is>
      </c>
      <c r="H87" s="16" t="n">
        <v>19.36</v>
      </c>
      <c r="I87" s="16" t="n">
        <v>14</v>
      </c>
      <c r="J87" s="16" t="inlineStr">
        <is>
          <t>Yes</t>
        </is>
      </c>
      <c r="K87" s="16" t="n"/>
    </row>
    <row r="88" ht="15" customHeight="1" s="13">
      <c r="A88" s="16" t="inlineStr">
        <is>
          <t>7212/0179</t>
        </is>
      </c>
      <c r="B88" s="16" t="inlineStr">
        <is>
          <t>2W AMPSEAL16 SLD SKT CONN KEY A RED</t>
        </is>
      </c>
      <c r="C88" s="16" t="inlineStr">
        <is>
          <t>Lab Consumables</t>
        </is>
      </c>
      <c r="D88" s="16" t="inlineStr">
        <is>
          <t>Wire Seal</t>
        </is>
      </c>
      <c r="E88" s="16" t="inlineStr">
        <is>
          <t>NO</t>
        </is>
      </c>
      <c r="F88" s="16" t="inlineStr">
        <is>
          <t>L-12</t>
        </is>
      </c>
      <c r="G88" s="16" t="inlineStr">
        <is>
          <t>TE CONNECTIVITY</t>
        </is>
      </c>
      <c r="H88" s="16" t="n">
        <v>71.48</v>
      </c>
      <c r="I88" s="16" t="n">
        <v>10</v>
      </c>
      <c r="J88" s="16" t="inlineStr">
        <is>
          <t>Yes</t>
        </is>
      </c>
      <c r="K88" s="16" t="n"/>
    </row>
    <row r="89" ht="15" customHeight="1" s="13">
      <c r="A89" s="16" t="inlineStr">
        <is>
          <t>7212/0080</t>
        </is>
      </c>
      <c r="B89" s="16" t="inlineStr">
        <is>
          <t>2 WAY DT04 PIN HSG NO END CAP</t>
        </is>
      </c>
      <c r="C89" s="16" t="inlineStr">
        <is>
          <t>Lab Consumables</t>
        </is>
      </c>
      <c r="D89" s="16" t="inlineStr">
        <is>
          <t>WH Misc</t>
        </is>
      </c>
      <c r="E89" s="16" t="inlineStr">
        <is>
          <t>NO</t>
        </is>
      </c>
      <c r="F89" s="16" t="inlineStr">
        <is>
          <t>L-12</t>
        </is>
      </c>
      <c r="G89" s="16" t="inlineStr">
        <is>
          <t>MOTHERSON SUMI WIRING INDIA ( M274</t>
        </is>
      </c>
      <c r="H89" s="16" t="n">
        <v>43.76</v>
      </c>
      <c r="I89" s="16" t="n">
        <v>14</v>
      </c>
      <c r="J89" s="16" t="inlineStr">
        <is>
          <t>Yes</t>
        </is>
      </c>
      <c r="K89" s="16" t="n"/>
    </row>
    <row r="90" ht="15" customHeight="1" s="13">
      <c r="A90" s="16" t="inlineStr">
        <is>
          <t>7212/0051</t>
        </is>
      </c>
      <c r="B90" s="16" t="inlineStr">
        <is>
          <t>2 Way DT04 Pin Housing</t>
        </is>
      </c>
      <c r="C90" s="16" t="inlineStr">
        <is>
          <t>Lab Consumables</t>
        </is>
      </c>
      <c r="D90" s="16" t="inlineStr">
        <is>
          <t>WH Misc</t>
        </is>
      </c>
      <c r="E90" s="16" t="inlineStr">
        <is>
          <t>NO</t>
        </is>
      </c>
      <c r="F90" s="16" t="inlineStr">
        <is>
          <t>D2-2</t>
        </is>
      </c>
      <c r="G90" s="16" t="inlineStr">
        <is>
          <t>MOTHERSON SUMI WIRING INDIA ( M274</t>
        </is>
      </c>
      <c r="H90" s="16" t="n">
        <v>52.07</v>
      </c>
      <c r="I90" s="16" t="n">
        <v>40</v>
      </c>
      <c r="J90" s="16" t="inlineStr">
        <is>
          <t>Yes</t>
        </is>
      </c>
      <c r="K90" s="16" t="n"/>
    </row>
    <row r="91" ht="15" customHeight="1" s="13">
      <c r="A91" s="16" t="inlineStr">
        <is>
          <t>7212/0121</t>
        </is>
      </c>
      <c r="B91" s="16" t="inlineStr">
        <is>
          <t>2 Way FASTIN FASTON HOUSING</t>
        </is>
      </c>
      <c r="C91" s="16" t="inlineStr">
        <is>
          <t>Lab Consumables</t>
        </is>
      </c>
      <c r="D91" s="16" t="inlineStr">
        <is>
          <t>WH Misc</t>
        </is>
      </c>
      <c r="E91" s="16" t="inlineStr">
        <is>
          <t>NO</t>
        </is>
      </c>
      <c r="F91" s="16" t="inlineStr">
        <is>
          <t>BIN -6-04</t>
        </is>
      </c>
      <c r="G91" s="16" t="inlineStr">
        <is>
          <t>MOTHERSON SUMI WIRING INDIA ( M274</t>
        </is>
      </c>
      <c r="H91" s="16" t="n">
        <v>8.880000000000001</v>
      </c>
      <c r="I91" s="16" t="n">
        <v>14</v>
      </c>
      <c r="J91" s="16" t="inlineStr">
        <is>
          <t>Yes</t>
        </is>
      </c>
      <c r="K91" s="16" t="n"/>
    </row>
    <row r="92" ht="15" customHeight="1" s="13">
      <c r="A92" s="16" t="inlineStr">
        <is>
          <t>7214/0025</t>
        </is>
      </c>
      <c r="B92" s="16" t="inlineStr">
        <is>
          <t>4 Way DT06 Socket Housing</t>
        </is>
      </c>
      <c r="C92" s="16" t="inlineStr">
        <is>
          <t>Lab Consumables</t>
        </is>
      </c>
      <c r="D92" s="16" t="inlineStr">
        <is>
          <t>WH Misc</t>
        </is>
      </c>
      <c r="E92" s="16" t="inlineStr">
        <is>
          <t>NO</t>
        </is>
      </c>
      <c r="F92" s="16" t="inlineStr">
        <is>
          <t>L-1</t>
        </is>
      </c>
      <c r="G92" s="16" t="inlineStr">
        <is>
          <t>MOTHERSON SUMI WIRING INDIA ( M274</t>
        </is>
      </c>
      <c r="H92" s="16" t="n">
        <v>96.95999999999999</v>
      </c>
      <c r="I92" s="16" t="n">
        <v>7</v>
      </c>
      <c r="J92" s="16" t="inlineStr">
        <is>
          <t>Yes</t>
        </is>
      </c>
      <c r="K92" s="16" t="n"/>
    </row>
    <row r="93" ht="15" customHeight="1" s="13">
      <c r="A93" s="16" t="inlineStr">
        <is>
          <t>7219/0248</t>
        </is>
      </c>
      <c r="B93" s="16" t="inlineStr">
        <is>
          <t>16 WAY DL090 FEM SEALED H</t>
        </is>
      </c>
      <c r="C93" s="16" t="inlineStr">
        <is>
          <t>Lab Consumables</t>
        </is>
      </c>
      <c r="D93" s="16" t="inlineStr">
        <is>
          <t>Wire Seal</t>
        </is>
      </c>
      <c r="E93" s="16" t="inlineStr">
        <is>
          <t>NO</t>
        </is>
      </c>
      <c r="F93" s="16" t="inlineStr">
        <is>
          <t>L-12</t>
        </is>
      </c>
      <c r="G93" s="16" t="inlineStr">
        <is>
          <t>MOTHERSON SUMI WIRING INDIA ( M274</t>
        </is>
      </c>
      <c r="H93" s="16" t="n">
        <v>57.7</v>
      </c>
      <c r="I93" s="16" t="n">
        <v>14</v>
      </c>
      <c r="J93" s="16" t="inlineStr">
        <is>
          <t>Yes</t>
        </is>
      </c>
      <c r="K93" s="16" t="n"/>
    </row>
    <row r="94" ht="15" customHeight="1" s="13">
      <c r="A94" s="16" t="inlineStr">
        <is>
          <t>7219/0249</t>
        </is>
      </c>
      <c r="B94" s="16" t="inlineStr">
        <is>
          <t>16 Way DL090 male sealed Hsg</t>
        </is>
      </c>
      <c r="C94" s="16" t="inlineStr">
        <is>
          <t>Lab Consumables</t>
        </is>
      </c>
      <c r="D94" s="16" t="inlineStr">
        <is>
          <t>Wire Seal</t>
        </is>
      </c>
      <c r="E94" s="16" t="inlineStr">
        <is>
          <t>NO</t>
        </is>
      </c>
      <c r="F94" s="16" t="inlineStr">
        <is>
          <t>L-15</t>
        </is>
      </c>
      <c r="G94" s="16" t="inlineStr">
        <is>
          <t>MOTHERSON SUMI WIRING INDIA ( M274</t>
        </is>
      </c>
      <c r="H94" s="16" t="n">
        <v>94.16</v>
      </c>
      <c r="I94" s="16" t="n">
        <v>14</v>
      </c>
      <c r="J94" s="16" t="inlineStr">
        <is>
          <t>Yes</t>
        </is>
      </c>
      <c r="K94" s="16" t="n"/>
    </row>
    <row r="95" ht="15" customHeight="1" s="13">
      <c r="A95" s="16" t="inlineStr">
        <is>
          <t>7219/0191</t>
        </is>
      </c>
      <c r="B95" s="16" t="inlineStr">
        <is>
          <t>21 WAY HDP SOCKET HOUSING</t>
        </is>
      </c>
      <c r="C95" s="16" t="inlineStr">
        <is>
          <t>Lab Consumables</t>
        </is>
      </c>
      <c r="D95" s="16" t="inlineStr">
        <is>
          <t>WH Misc</t>
        </is>
      </c>
      <c r="E95" s="16" t="inlineStr">
        <is>
          <t>NO</t>
        </is>
      </c>
      <c r="F95" s="16" t="inlineStr">
        <is>
          <t>L-14</t>
        </is>
      </c>
      <c r="G95" s="16" t="inlineStr">
        <is>
          <t>MOTHERSON SUMI WIRING INDIA ( M274</t>
        </is>
      </c>
      <c r="H95" s="16" t="n">
        <v>1137.84</v>
      </c>
      <c r="I95" s="16" t="n">
        <v>7</v>
      </c>
      <c r="J95" s="16" t="inlineStr">
        <is>
          <t>Yes</t>
        </is>
      </c>
      <c r="K95" s="16" t="n"/>
    </row>
    <row r="96" ht="15" customHeight="1" s="13">
      <c r="A96" s="16" t="inlineStr">
        <is>
          <t>7216/0074</t>
        </is>
      </c>
      <c r="B96" s="16" t="inlineStr">
        <is>
          <t>6 WAY GT150 FEM CONNECTOR</t>
        </is>
      </c>
      <c r="C96" s="16" t="inlineStr">
        <is>
          <t>Lab Consumables</t>
        </is>
      </c>
      <c r="D96" s="16" t="inlineStr">
        <is>
          <t>Connector</t>
        </is>
      </c>
      <c r="E96" s="16" t="inlineStr">
        <is>
          <t>NO</t>
        </is>
      </c>
      <c r="F96" s="16" t="inlineStr">
        <is>
          <t>L-12</t>
        </is>
      </c>
      <c r="G96" s="16" t="inlineStr">
        <is>
          <t>MOTHERSON SUMI WIRING INDIA ( M274</t>
        </is>
      </c>
      <c r="H96" s="16" t="n">
        <v>136.89</v>
      </c>
      <c r="I96" s="16" t="n">
        <v>14</v>
      </c>
      <c r="J96" s="16" t="inlineStr">
        <is>
          <t>Yes</t>
        </is>
      </c>
      <c r="K96" s="16" t="n"/>
    </row>
    <row r="97" ht="15" customHeight="1" s="13">
      <c r="A97" s="16" t="inlineStr">
        <is>
          <t>7213/0032</t>
        </is>
      </c>
      <c r="B97" s="16" t="inlineStr">
        <is>
          <t>3 Way DTM04 Pin Housing</t>
        </is>
      </c>
      <c r="C97" s="16" t="inlineStr">
        <is>
          <t>Lab Consumables</t>
        </is>
      </c>
      <c r="D97" s="16" t="inlineStr">
        <is>
          <t>WH Misc</t>
        </is>
      </c>
      <c r="E97" s="16" t="inlineStr">
        <is>
          <t>NO</t>
        </is>
      </c>
      <c r="F97" s="16" t="inlineStr">
        <is>
          <t>M-1</t>
        </is>
      </c>
      <c r="G97" s="16" t="inlineStr">
        <is>
          <t>MOTHERSON SUMI WIRING INDIA ( M274</t>
        </is>
      </c>
      <c r="H97" s="16" t="n">
        <v>128.37</v>
      </c>
      <c r="I97" s="16" t="n">
        <v>7</v>
      </c>
      <c r="J97" s="16" t="inlineStr">
        <is>
          <t>Yes</t>
        </is>
      </c>
      <c r="K97" s="16" t="n"/>
    </row>
    <row r="98" ht="15" customHeight="1" s="13">
      <c r="A98" s="16" t="inlineStr">
        <is>
          <t>7218/0083</t>
        </is>
      </c>
      <c r="B98" s="16" t="inlineStr">
        <is>
          <t>8 WAY MX150 SOCKET HSG KEY A</t>
        </is>
      </c>
      <c r="C98" s="16" t="inlineStr">
        <is>
          <t>Lab Consumables</t>
        </is>
      </c>
      <c r="D98" s="16" t="inlineStr">
        <is>
          <t>WH Misc</t>
        </is>
      </c>
      <c r="E98" s="16" t="inlineStr">
        <is>
          <t>NO</t>
        </is>
      </c>
      <c r="F98" s="16" t="inlineStr">
        <is>
          <t>L-13</t>
        </is>
      </c>
      <c r="G98" s="16" t="inlineStr">
        <is>
          <t>MOTHERSON SUMI WIRING INDIA ( M274</t>
        </is>
      </c>
      <c r="H98" s="16" t="n">
        <v>71.90000000000001</v>
      </c>
      <c r="I98" s="16" t="n">
        <v>7</v>
      </c>
      <c r="J98" s="16" t="inlineStr">
        <is>
          <t>Yes</t>
        </is>
      </c>
      <c r="K98" s="16" t="n"/>
    </row>
    <row r="99" ht="15" customHeight="1" s="13">
      <c r="A99" s="16" t="inlineStr">
        <is>
          <t>7219/0157</t>
        </is>
      </c>
      <c r="B99" s="16" t="inlineStr">
        <is>
          <t>12 Way DL 090 Male Sealed</t>
        </is>
      </c>
      <c r="C99" s="16" t="inlineStr">
        <is>
          <t>Lab Consumables</t>
        </is>
      </c>
      <c r="D99" s="16" t="inlineStr">
        <is>
          <t>Wire Seal</t>
        </is>
      </c>
      <c r="E99" s="16" t="inlineStr">
        <is>
          <t>NO</t>
        </is>
      </c>
      <c r="F99" s="16" t="inlineStr">
        <is>
          <t>L-12</t>
        </is>
      </c>
      <c r="G99" s="16" t="inlineStr">
        <is>
          <t>MOTHERSON SUMI WIRING INDIA ( M274</t>
        </is>
      </c>
      <c r="H99" s="16" t="n">
        <v>39.69</v>
      </c>
      <c r="I99" s="16" t="n">
        <v>7</v>
      </c>
      <c r="J99" s="16" t="inlineStr">
        <is>
          <t>Yes</t>
        </is>
      </c>
      <c r="K99" s="16" t="n"/>
    </row>
    <row r="100" ht="15" customHeight="1" s="13">
      <c r="A100" s="16" t="inlineStr">
        <is>
          <t>7219/0109</t>
        </is>
      </c>
      <c r="B100" s="16" t="inlineStr">
        <is>
          <t>12 Way DL 090 Fem Sealed</t>
        </is>
      </c>
      <c r="C100" s="16" t="inlineStr">
        <is>
          <t>Lab Consumables</t>
        </is>
      </c>
      <c r="D100" s="16" t="inlineStr">
        <is>
          <t>Wire Seal</t>
        </is>
      </c>
      <c r="E100" s="16" t="inlineStr">
        <is>
          <t>NO</t>
        </is>
      </c>
      <c r="F100" s="16" t="n"/>
      <c r="G100" s="16" t="inlineStr">
        <is>
          <t>MOTHERSON SUMI WIRING INDIA ( M274</t>
        </is>
      </c>
      <c r="H100" s="16" t="n">
        <v>68.92</v>
      </c>
      <c r="I100" s="16" t="n">
        <v>7</v>
      </c>
      <c r="J100" s="16" t="inlineStr">
        <is>
          <t>Yes</t>
        </is>
      </c>
      <c r="K100" s="16" t="n"/>
    </row>
    <row r="101" ht="15" customHeight="1" s="13">
      <c r="A101" s="16" t="inlineStr">
        <is>
          <t>7212/0113</t>
        </is>
      </c>
      <c r="B101" s="16" t="inlineStr">
        <is>
          <t>2 WAY 2.8 SSC FEM HSG</t>
        </is>
      </c>
      <c r="C101" s="16" t="inlineStr">
        <is>
          <t>Lab Consumables</t>
        </is>
      </c>
      <c r="D101" s="16" t="inlineStr">
        <is>
          <t>WH Misc</t>
        </is>
      </c>
      <c r="E101" s="16" t="inlineStr">
        <is>
          <t>NO</t>
        </is>
      </c>
      <c r="F101" s="16" t="inlineStr">
        <is>
          <t>M-4</t>
        </is>
      </c>
      <c r="G101" s="16" t="inlineStr">
        <is>
          <t>TE CONNECTIVITY</t>
        </is>
      </c>
      <c r="H101" s="16" t="n">
        <v>27.15</v>
      </c>
      <c r="I101" s="16" t="n">
        <v>25</v>
      </c>
      <c r="J101" s="16" t="inlineStr">
        <is>
          <t>Yes</t>
        </is>
      </c>
      <c r="K101" s="16" t="n"/>
    </row>
    <row r="102" ht="15" customHeight="1" s="13">
      <c r="A102" s="16" t="inlineStr">
        <is>
          <t>7213/0080</t>
        </is>
      </c>
      <c r="B102" s="16" t="inlineStr">
        <is>
          <t>3 Way HPSL FEM HSG Brown</t>
        </is>
      </c>
      <c r="C102" s="16" t="inlineStr">
        <is>
          <t>Lab Consumables</t>
        </is>
      </c>
      <c r="D102" s="16" t="inlineStr">
        <is>
          <t>WH Misc</t>
        </is>
      </c>
      <c r="E102" s="16" t="inlineStr">
        <is>
          <t>NO</t>
        </is>
      </c>
      <c r="F102" s="16" t="inlineStr">
        <is>
          <t>D2-2</t>
        </is>
      </c>
      <c r="G102" s="16" t="inlineStr">
        <is>
          <t>TE CONNECTIVITY</t>
        </is>
      </c>
      <c r="H102" s="16" t="n">
        <v>115.31</v>
      </c>
      <c r="I102" s="16" t="n">
        <v>10</v>
      </c>
      <c r="J102" s="16" t="inlineStr">
        <is>
          <t>Yes</t>
        </is>
      </c>
      <c r="K102" s="16" t="n"/>
    </row>
    <row r="103" ht="15" customHeight="1" s="13">
      <c r="A103" s="16" t="inlineStr">
        <is>
          <t>7214/0034</t>
        </is>
      </c>
      <c r="B103" s="16" t="inlineStr">
        <is>
          <t>4 Way DTP06 Socket Housing</t>
        </is>
      </c>
      <c r="C103" s="16" t="inlineStr">
        <is>
          <t>Lab Consumables</t>
        </is>
      </c>
      <c r="D103" s="16" t="inlineStr">
        <is>
          <t>WH Misc</t>
        </is>
      </c>
      <c r="E103" s="16" t="inlineStr">
        <is>
          <t>NO</t>
        </is>
      </c>
      <c r="F103" s="16" t="inlineStr">
        <is>
          <t>EMC-05</t>
        </is>
      </c>
      <c r="G103" s="16" t="inlineStr">
        <is>
          <t>MOTHERSON SUMI WIRING INDIA ( M274</t>
        </is>
      </c>
      <c r="H103" s="16" t="n">
        <v>240.7</v>
      </c>
      <c r="I103" s="16" t="n">
        <v>10</v>
      </c>
      <c r="J103" s="16" t="inlineStr">
        <is>
          <t>Yes</t>
        </is>
      </c>
      <c r="K103" s="16" t="n"/>
    </row>
    <row r="104" ht="15" customHeight="1" s="13">
      <c r="A104" s="16" t="inlineStr">
        <is>
          <t>7218/0087</t>
        </is>
      </c>
      <c r="B104" s="16" t="inlineStr">
        <is>
          <t>8 WAY MX150 HYBRID SKT HS</t>
        </is>
      </c>
      <c r="C104" s="16" t="inlineStr">
        <is>
          <t>Lab Consumables</t>
        </is>
      </c>
      <c r="D104" s="16" t="inlineStr">
        <is>
          <t>WH Misc</t>
        </is>
      </c>
      <c r="E104" s="16" t="inlineStr">
        <is>
          <t>NO</t>
        </is>
      </c>
      <c r="F104" s="16" t="inlineStr">
        <is>
          <t>L-5</t>
        </is>
      </c>
      <c r="G104" s="16" t="inlineStr">
        <is>
          <t>MOTHERSON SUMI WIRING INDIA ( M274</t>
        </is>
      </c>
      <c r="H104" s="16" t="n">
        <v>132.74</v>
      </c>
      <c r="I104" s="16" t="n">
        <v>7</v>
      </c>
      <c r="J104" s="16" t="inlineStr">
        <is>
          <t>Yes</t>
        </is>
      </c>
      <c r="K104" s="16" t="n"/>
    </row>
    <row r="105" ht="15" customHeight="1" s="13">
      <c r="A105" s="16" t="inlineStr">
        <is>
          <t>7212/0002</t>
        </is>
      </c>
      <c r="B105" s="16" t="inlineStr">
        <is>
          <t>2 Way HW090 Pin Housing</t>
        </is>
      </c>
      <c r="C105" s="16" t="inlineStr">
        <is>
          <t>Lab Consumables</t>
        </is>
      </c>
      <c r="D105" s="16" t="inlineStr">
        <is>
          <t>WH Misc</t>
        </is>
      </c>
      <c r="E105" s="16" t="inlineStr">
        <is>
          <t>NO</t>
        </is>
      </c>
      <c r="F105" s="16" t="inlineStr">
        <is>
          <t>D2-2</t>
        </is>
      </c>
      <c r="G105" s="16" t="inlineStr">
        <is>
          <t>MOTHERSON SUMI WIRING INDIA ( M274</t>
        </is>
      </c>
      <c r="H105" s="16" t="n">
        <v>10.77</v>
      </c>
      <c r="I105" s="16" t="n">
        <v>27</v>
      </c>
      <c r="J105" s="16" t="inlineStr">
        <is>
          <t>Yes</t>
        </is>
      </c>
      <c r="K105" s="16" t="n"/>
    </row>
    <row r="106" ht="15" customHeight="1" s="13">
      <c r="A106" s="16" t="inlineStr">
        <is>
          <t>7219/0272</t>
        </is>
      </c>
      <c r="B106" s="16" t="inlineStr">
        <is>
          <t>47 Way HDP free skt housing L017</t>
        </is>
      </c>
      <c r="C106" s="16" t="inlineStr">
        <is>
          <t>Lab Consumables</t>
        </is>
      </c>
      <c r="D106" s="16" t="inlineStr">
        <is>
          <t>WH Misc</t>
        </is>
      </c>
      <c r="E106" s="16" t="inlineStr">
        <is>
          <t>NO</t>
        </is>
      </c>
      <c r="F106" s="16" t="inlineStr">
        <is>
          <t>EMC-05</t>
        </is>
      </c>
      <c r="G106" s="16" t="inlineStr">
        <is>
          <t>TE CONNECTIVITY</t>
        </is>
      </c>
      <c r="H106" s="16" t="n">
        <v>1365.78</v>
      </c>
      <c r="I106" s="16" t="n">
        <v>15</v>
      </c>
      <c r="J106" s="16" t="inlineStr">
        <is>
          <t>Yes</t>
        </is>
      </c>
      <c r="K106" s="16" t="n"/>
    </row>
    <row r="107" ht="15" customHeight="1" s="13">
      <c r="A107" s="16" t="inlineStr">
        <is>
          <t>7210/0052</t>
        </is>
      </c>
      <c r="B107" s="16" t="inlineStr">
        <is>
          <t>Cavity Plug DT 20 Red</t>
        </is>
      </c>
      <c r="C107" s="16" t="inlineStr">
        <is>
          <t>Lab Consumables</t>
        </is>
      </c>
      <c r="D107" s="16" t="inlineStr">
        <is>
          <t>Cavity Plug</t>
        </is>
      </c>
      <c r="E107" s="16" t="inlineStr">
        <is>
          <t>NO</t>
        </is>
      </c>
      <c r="F107" s="16" t="inlineStr">
        <is>
          <t>seal box</t>
        </is>
      </c>
      <c r="G107" s="16" t="inlineStr">
        <is>
          <t>TE CONNECTIVITY</t>
        </is>
      </c>
      <c r="H107" s="16" t="n">
        <v>4.38</v>
      </c>
      <c r="I107" s="16" t="n">
        <v>150</v>
      </c>
      <c r="J107" s="16" t="inlineStr">
        <is>
          <t>Yes</t>
        </is>
      </c>
      <c r="K107" s="16" t="n"/>
    </row>
    <row r="108" ht="15" customHeight="1" s="13">
      <c r="A108" s="16" t="inlineStr">
        <is>
          <t>7243/0784</t>
        </is>
      </c>
      <c r="B108" s="16" t="inlineStr">
        <is>
          <t>BOOT HD30 180 DEG -Rev.Lel.-01</t>
        </is>
      </c>
      <c r="C108" s="16" t="inlineStr">
        <is>
          <t>Lab Consumables</t>
        </is>
      </c>
      <c r="D108" s="16" t="inlineStr">
        <is>
          <t>WH Misc</t>
        </is>
      </c>
      <c r="E108" s="16" t="inlineStr">
        <is>
          <t>NO</t>
        </is>
      </c>
      <c r="F108" s="16" t="inlineStr">
        <is>
          <t>BIN-3-07</t>
        </is>
      </c>
      <c r="G108" s="16" t="inlineStr">
        <is>
          <t>MOTHERSON SUMI WIRING INDIA ( M274</t>
        </is>
      </c>
      <c r="H108" s="16" t="n">
        <v>88.98</v>
      </c>
      <c r="I108" s="16" t="n">
        <v>2</v>
      </c>
      <c r="J108" s="16" t="inlineStr">
        <is>
          <t>Yes</t>
        </is>
      </c>
      <c r="K108" s="16" t="n"/>
    </row>
    <row r="109" ht="15" customHeight="1" s="13">
      <c r="A109" s="16" t="inlineStr">
        <is>
          <t>7213/0024</t>
        </is>
      </c>
      <c r="B109" s="16" t="inlineStr">
        <is>
          <t>3 Way Superseal Recept Housing</t>
        </is>
      </c>
      <c r="C109" s="16" t="inlineStr">
        <is>
          <t>Lab Consumables</t>
        </is>
      </c>
      <c r="D109" s="16" t="inlineStr">
        <is>
          <t>Wire Seal</t>
        </is>
      </c>
      <c r="E109" s="16" t="inlineStr">
        <is>
          <t>NO</t>
        </is>
      </c>
      <c r="F109" s="16" t="inlineStr">
        <is>
          <t>D2-1</t>
        </is>
      </c>
      <c r="G109" s="16" t="inlineStr">
        <is>
          <t>MOTHERSON SUMI WIRING INDIA ( M274</t>
        </is>
      </c>
      <c r="H109" s="16" t="n">
        <v>22.19</v>
      </c>
      <c r="I109" s="16" t="n">
        <v>10</v>
      </c>
      <c r="J109" s="16" t="inlineStr">
        <is>
          <t>Yes</t>
        </is>
      </c>
      <c r="K109" s="16" t="n"/>
    </row>
    <row r="110" ht="15" customHeight="1" s="13">
      <c r="A110" s="16" t="inlineStr">
        <is>
          <t>7216/0029</t>
        </is>
      </c>
      <c r="B110" s="16" t="inlineStr">
        <is>
          <t>6 WAY SUPERSEAL RECEPT HOUSING</t>
        </is>
      </c>
      <c r="C110" s="16" t="inlineStr">
        <is>
          <t>Lab Consumables</t>
        </is>
      </c>
      <c r="D110" s="16" t="inlineStr">
        <is>
          <t>Wire Seal</t>
        </is>
      </c>
      <c r="E110" s="16" t="inlineStr">
        <is>
          <t>NO</t>
        </is>
      </c>
      <c r="F110" s="16" t="inlineStr">
        <is>
          <t>L-15</t>
        </is>
      </c>
      <c r="G110" s="16" t="inlineStr">
        <is>
          <t>MOTHERSON SUMI WIRING INDIA ( M274</t>
        </is>
      </c>
      <c r="H110" s="16" t="n">
        <v>70.62</v>
      </c>
      <c r="I110" s="16" t="n">
        <v>10</v>
      </c>
      <c r="J110" s="16" t="inlineStr">
        <is>
          <t>Yes</t>
        </is>
      </c>
      <c r="K110" s="16" t="n"/>
    </row>
    <row r="111" ht="15" customHeight="1" s="13">
      <c r="A111" s="16" t="inlineStr">
        <is>
          <t>7201/0095</t>
        </is>
      </c>
      <c r="B111" s="16" t="inlineStr">
        <is>
          <t>0.30-0.50mm² Socket Terminal Superseal</t>
        </is>
      </c>
      <c r="C111" s="16" t="inlineStr">
        <is>
          <t>Lab Consumables</t>
        </is>
      </c>
      <c r="D111" s="16" t="inlineStr">
        <is>
          <t>Terminal</t>
        </is>
      </c>
      <c r="E111" s="16" t="inlineStr">
        <is>
          <t>NO</t>
        </is>
      </c>
      <c r="F111" s="16" t="inlineStr">
        <is>
          <t>L-7</t>
        </is>
      </c>
      <c r="G111" s="16" t="inlineStr">
        <is>
          <t>MOTHERSON SUMI WIRING INDIA ( M274</t>
        </is>
      </c>
      <c r="H111" s="16" t="n">
        <v>2.96</v>
      </c>
      <c r="I111" s="16" t="n">
        <v>100</v>
      </c>
      <c r="J111" s="16" t="inlineStr">
        <is>
          <t>Yes</t>
        </is>
      </c>
      <c r="K111" s="16" t="n"/>
    </row>
    <row r="112" ht="15" customHeight="1" s="13">
      <c r="A112" s="16" t="inlineStr">
        <is>
          <t>7219/0040</t>
        </is>
      </c>
      <c r="B112" s="16" t="inlineStr">
        <is>
          <t>Housing pin9 way Deutsch</t>
        </is>
      </c>
      <c r="C112" s="16" t="inlineStr">
        <is>
          <t>Lab Consumables</t>
        </is>
      </c>
      <c r="D112" s="16" t="inlineStr">
        <is>
          <t>WH Misc</t>
        </is>
      </c>
      <c r="E112" s="16" t="inlineStr">
        <is>
          <t>NO</t>
        </is>
      </c>
      <c r="F112" s="16" t="n"/>
      <c r="G112" s="16" t="inlineStr">
        <is>
          <t>MOTHERSON SUMI WIRING INDIA ( M274</t>
        </is>
      </c>
      <c r="H112" s="16" t="n">
        <v>560.27</v>
      </c>
      <c r="I112" s="16" t="n">
        <v>3</v>
      </c>
      <c r="J112" s="16" t="inlineStr">
        <is>
          <t>Yes</t>
        </is>
      </c>
      <c r="K112" s="16" t="n"/>
    </row>
    <row r="113" ht="15" customHeight="1" s="13">
      <c r="A113" s="16" t="inlineStr">
        <is>
          <t>7204/0028</t>
        </is>
      </c>
      <c r="B113" s="16" t="inlineStr">
        <is>
          <t>0.75-2.0 DT Size 16 Pin Term Nickel OD 1.91-3.56</t>
        </is>
      </c>
      <c r="C113" s="16" t="inlineStr">
        <is>
          <t>Lab Consumables</t>
        </is>
      </c>
      <c r="D113" s="16" t="inlineStr">
        <is>
          <t>WH Misc</t>
        </is>
      </c>
      <c r="E113" s="16" t="inlineStr">
        <is>
          <t>NO</t>
        </is>
      </c>
      <c r="F113" s="16" t="inlineStr">
        <is>
          <t>L-8</t>
        </is>
      </c>
      <c r="G113" s="16" t="inlineStr">
        <is>
          <t>TE CONNECTIVITY</t>
        </is>
      </c>
      <c r="H113" s="16" t="n">
        <v>8.960000000000001</v>
      </c>
      <c r="I113" s="16" t="n">
        <v>100</v>
      </c>
      <c r="J113" s="16" t="inlineStr">
        <is>
          <t>Yes</t>
        </is>
      </c>
      <c r="K113" s="16" t="n"/>
    </row>
    <row r="114" ht="15" customHeight="1" s="13">
      <c r="A114" s="16" t="inlineStr">
        <is>
          <t>7243/0643</t>
        </is>
      </c>
      <c r="B114" s="16" t="inlineStr">
        <is>
          <t>HD10 BACKSHELL SIZE 9</t>
        </is>
      </c>
      <c r="C114" s="16" t="inlineStr">
        <is>
          <t>Lab Consumables</t>
        </is>
      </c>
      <c r="D114" s="16" t="inlineStr">
        <is>
          <t>Backshell</t>
        </is>
      </c>
      <c r="E114" s="16" t="inlineStr">
        <is>
          <t>NO</t>
        </is>
      </c>
      <c r="F114" s="16" t="n"/>
      <c r="G114" s="16" t="inlineStr">
        <is>
          <t>MOTHERSON SUMI WIRING INDIA ( M274</t>
        </is>
      </c>
      <c r="H114" s="16" t="n">
        <v>426.28</v>
      </c>
      <c r="I114" s="16" t="n">
        <v>5</v>
      </c>
      <c r="J114" s="16" t="inlineStr">
        <is>
          <t>Yes</t>
        </is>
      </c>
      <c r="K114" s="16" t="n"/>
    </row>
    <row r="115" ht="15" customHeight="1" s="13">
      <c r="A115" s="16" t="inlineStr">
        <is>
          <t>7204/0029</t>
        </is>
      </c>
      <c r="B115" s="16" t="inlineStr">
        <is>
          <t>0.50-1.50 DT Size 20 Socket Terminal Nickel</t>
        </is>
      </c>
      <c r="C115" s="16" t="inlineStr">
        <is>
          <t>Lab Consumables</t>
        </is>
      </c>
      <c r="D115" s="16" t="inlineStr">
        <is>
          <t>Terminal</t>
        </is>
      </c>
      <c r="E115" s="16" t="inlineStr">
        <is>
          <t>NO</t>
        </is>
      </c>
      <c r="F115" s="16" t="inlineStr">
        <is>
          <t>L-7</t>
        </is>
      </c>
      <c r="G115" s="16" t="inlineStr">
        <is>
          <t>TE CONNECTIVITY</t>
        </is>
      </c>
      <c r="H115" s="16" t="n">
        <v>10.21</v>
      </c>
      <c r="I115" s="16" t="n">
        <v>150</v>
      </c>
      <c r="J115" s="16" t="inlineStr">
        <is>
          <t>Yes</t>
        </is>
      </c>
      <c r="K115" s="16" t="n"/>
    </row>
    <row r="116" ht="15" customHeight="1" s="13">
      <c r="A116" s="16" t="inlineStr">
        <is>
          <t>7210/0030</t>
        </is>
      </c>
      <c r="B116" s="16" t="inlineStr">
        <is>
          <t>CAVITY PLUG DEUTSCH 12-16 -Rev.Lel.-02</t>
        </is>
      </c>
      <c r="C116" s="16" t="inlineStr">
        <is>
          <t>Lab Consumables</t>
        </is>
      </c>
      <c r="D116" s="16" t="inlineStr">
        <is>
          <t>Cavity Plug</t>
        </is>
      </c>
      <c r="E116" s="16" t="inlineStr">
        <is>
          <t>NO</t>
        </is>
      </c>
      <c r="F116" s="16" t="inlineStr">
        <is>
          <t>L-18</t>
        </is>
      </c>
      <c r="G116" s="16" t="inlineStr">
        <is>
          <t>MOTHERSON SUMI WIRING INDIA ( M274</t>
        </is>
      </c>
      <c r="H116" s="16" t="n">
        <v>2.94</v>
      </c>
      <c r="I116" s="16" t="n">
        <v>200</v>
      </c>
      <c r="J116" s="16" t="inlineStr">
        <is>
          <t>Yes</t>
        </is>
      </c>
      <c r="K116" s="16" t="n"/>
    </row>
    <row r="117" ht="15" customHeight="1" s="13">
      <c r="A117" s="16" t="inlineStr">
        <is>
          <t>727/00002</t>
        </is>
      </c>
      <c r="B117" s="16" t="inlineStr">
        <is>
          <t>3 Way DT04 CAN Terminating Resistor J1939/11</t>
        </is>
      </c>
      <c r="C117" s="16" t="inlineStr">
        <is>
          <t>Lab Consumables</t>
        </is>
      </c>
      <c r="D117" s="16" t="inlineStr">
        <is>
          <t>Resistor</t>
        </is>
      </c>
      <c r="E117" s="16" t="inlineStr">
        <is>
          <t>NO</t>
        </is>
      </c>
      <c r="F117" s="16" t="inlineStr">
        <is>
          <t>EMC-06</t>
        </is>
      </c>
      <c r="G117" s="16" t="inlineStr">
        <is>
          <t>TE CONNECTIVITY</t>
        </is>
      </c>
      <c r="H117" s="16" t="n">
        <v>254.86</v>
      </c>
      <c r="I117" s="16" t="n">
        <v>14</v>
      </c>
      <c r="J117" s="16" t="inlineStr">
        <is>
          <t>Yes</t>
        </is>
      </c>
      <c r="K117" s="16" t="n"/>
    </row>
    <row r="118" ht="15" customHeight="1" s="13">
      <c r="A118" s="16" t="inlineStr">
        <is>
          <t>7243/0002</t>
        </is>
      </c>
      <c r="B118" s="16" t="inlineStr">
        <is>
          <t>2 WAY DT90 Deg Adaptor NC08</t>
        </is>
      </c>
      <c r="C118" s="16" t="inlineStr">
        <is>
          <t>Lab Consumables</t>
        </is>
      </c>
      <c r="D118" s="16" t="inlineStr">
        <is>
          <t>WH Misc</t>
        </is>
      </c>
      <c r="E118" s="16" t="inlineStr">
        <is>
          <t>NO</t>
        </is>
      </c>
      <c r="F118" s="16" t="inlineStr">
        <is>
          <t>L-18</t>
        </is>
      </c>
      <c r="G118" s="16" t="inlineStr">
        <is>
          <t>MOTHERSON SUMI WIRING INDIA ( M274</t>
        </is>
      </c>
      <c r="H118" s="16" t="n">
        <v>46.29</v>
      </c>
      <c r="I118" s="16" t="n">
        <v>14</v>
      </c>
      <c r="J118" s="16" t="inlineStr">
        <is>
          <t>Yes</t>
        </is>
      </c>
      <c r="K118" s="16" t="n"/>
    </row>
    <row r="119" ht="15" customHeight="1" s="13">
      <c r="A119" s="16" t="inlineStr">
        <is>
          <t>7243/0202</t>
        </is>
      </c>
      <c r="B119" s="16" t="inlineStr">
        <is>
          <t>2 Way DT06 Adapter 90 Deg NC08</t>
        </is>
      </c>
      <c r="C119" s="16" t="inlineStr">
        <is>
          <t>Lab Consumables</t>
        </is>
      </c>
      <c r="D119" s="16" t="inlineStr">
        <is>
          <t>WH Misc</t>
        </is>
      </c>
      <c r="E119" s="16" t="inlineStr">
        <is>
          <t>NO</t>
        </is>
      </c>
      <c r="F119" s="16" t="n"/>
      <c r="G119" s="16" t="inlineStr">
        <is>
          <t>MOTHERSON SUMI WIRING INDIA ( M274</t>
        </is>
      </c>
      <c r="H119" s="16" t="n">
        <v>113.07</v>
      </c>
      <c r="I119" s="16" t="n">
        <v>7</v>
      </c>
      <c r="J119" s="16" t="inlineStr">
        <is>
          <t>Yes</t>
        </is>
      </c>
      <c r="K119" s="16" t="n"/>
    </row>
    <row r="120" ht="15" customHeight="1" s="13">
      <c r="A120" s="16" t="inlineStr">
        <is>
          <t>7243/0203</t>
        </is>
      </c>
      <c r="B120" s="16" t="inlineStr">
        <is>
          <t>2 Way DT06 Adapter 90 Deg NC8-NC12</t>
        </is>
      </c>
      <c r="C120" s="16" t="inlineStr">
        <is>
          <t>Lab Consumables</t>
        </is>
      </c>
      <c r="D120" s="16" t="inlineStr">
        <is>
          <t>WH Misc</t>
        </is>
      </c>
      <c r="E120" s="16" t="inlineStr">
        <is>
          <t>NO</t>
        </is>
      </c>
      <c r="F120" s="16" t="inlineStr">
        <is>
          <t>L-18</t>
        </is>
      </c>
      <c r="G120" s="16" t="inlineStr">
        <is>
          <t>MOTHERSON SUMI WIRING INDIA ( M274</t>
        </is>
      </c>
      <c r="H120" s="16" t="n">
        <v>82.59</v>
      </c>
      <c r="I120" s="16" t="n">
        <v>7</v>
      </c>
      <c r="J120" s="16" t="inlineStr">
        <is>
          <t>Yes</t>
        </is>
      </c>
      <c r="K120" s="16" t="n"/>
    </row>
    <row r="121" ht="15" customHeight="1" s="13">
      <c r="A121" s="16" t="inlineStr">
        <is>
          <t>7212/0013</t>
        </is>
      </c>
      <c r="B121" s="16" t="inlineStr">
        <is>
          <t>2 Way Junior Power Timer Housing</t>
        </is>
      </c>
      <c r="C121" s="16" t="inlineStr">
        <is>
          <t>Lab Consumables</t>
        </is>
      </c>
      <c r="D121" s="16" t="inlineStr">
        <is>
          <t>WH Misc</t>
        </is>
      </c>
      <c r="E121" s="16" t="inlineStr">
        <is>
          <t>NO</t>
        </is>
      </c>
      <c r="F121" s="16" t="inlineStr">
        <is>
          <t>L-1</t>
        </is>
      </c>
      <c r="G121" s="16" t="inlineStr">
        <is>
          <t>TE CONNECTIVITY</t>
        </is>
      </c>
      <c r="H121" s="16" t="n">
        <v>28.11</v>
      </c>
      <c r="I121" s="16" t="n">
        <v>27</v>
      </c>
      <c r="J121" s="16" t="inlineStr">
        <is>
          <t>Yes</t>
        </is>
      </c>
      <c r="K121" s="16" t="n"/>
    </row>
    <row r="122" ht="15" customHeight="1" s="13">
      <c r="A122" s="16" t="inlineStr">
        <is>
          <t>7232/0024</t>
        </is>
      </c>
      <c r="B122" s="16" t="inlineStr">
        <is>
          <t>2WAY UNSEALED FEM HSG H F/L305-2PF</t>
        </is>
      </c>
      <c r="C122" s="16" t="inlineStr">
        <is>
          <t>Lab Consumables</t>
        </is>
      </c>
      <c r="D122" s="16" t="inlineStr">
        <is>
          <t>Wire Seal</t>
        </is>
      </c>
      <c r="E122" s="16" t="inlineStr">
        <is>
          <t>NO</t>
        </is>
      </c>
      <c r="F122" s="16" t="n"/>
      <c r="G122" s="16" t="inlineStr">
        <is>
          <t>MOTHERSON SUMI WIRING INDIA ( M274</t>
        </is>
      </c>
      <c r="H122" s="16" t="n">
        <v>4</v>
      </c>
      <c r="I122" s="16" t="n">
        <v>7</v>
      </c>
      <c r="J122" s="16" t="inlineStr">
        <is>
          <t>Yes</t>
        </is>
      </c>
      <c r="K122" s="16" t="n"/>
    </row>
    <row r="123" ht="15" customHeight="1" s="13">
      <c r="A123" s="16" t="inlineStr">
        <is>
          <t>7213/0015</t>
        </is>
      </c>
      <c r="B123" s="16" t="inlineStr">
        <is>
          <t>3 WAY DT06 SOC HSG NO END CAP</t>
        </is>
      </c>
      <c r="C123" s="16" t="inlineStr">
        <is>
          <t>Lab Consumables</t>
        </is>
      </c>
      <c r="D123" s="16" t="inlineStr">
        <is>
          <t>WH Misc</t>
        </is>
      </c>
      <c r="E123" s="16" t="inlineStr">
        <is>
          <t>NO</t>
        </is>
      </c>
      <c r="F123" s="16" t="inlineStr">
        <is>
          <t>S-1</t>
        </is>
      </c>
      <c r="G123" s="16" t="inlineStr">
        <is>
          <t>TE CONNECTIVITY</t>
        </is>
      </c>
      <c r="H123" s="16" t="n">
        <v>59.81</v>
      </c>
      <c r="I123" s="16" t="n">
        <v>34</v>
      </c>
      <c r="J123" s="16" t="inlineStr">
        <is>
          <t>Yes</t>
        </is>
      </c>
      <c r="K123" s="16" t="n"/>
    </row>
    <row r="124" ht="15" customHeight="1" s="13">
      <c r="A124" s="16" t="inlineStr">
        <is>
          <t>7219/0098</t>
        </is>
      </c>
      <c r="B124" s="16" t="inlineStr">
        <is>
          <t>Housing 9 Way Male Jam Nut Diagnostic</t>
        </is>
      </c>
      <c r="C124" s="16" t="inlineStr">
        <is>
          <t>Lab Consumables</t>
        </is>
      </c>
      <c r="D124" s="16" t="inlineStr">
        <is>
          <t>WH Misc</t>
        </is>
      </c>
      <c r="E124" s="16" t="inlineStr">
        <is>
          <t>NO</t>
        </is>
      </c>
      <c r="F124" s="16" t="inlineStr">
        <is>
          <t>L-5</t>
        </is>
      </c>
      <c r="G124" s="16" t="inlineStr">
        <is>
          <t>MOTHERSON SUMI WIRING INDIA ( M274</t>
        </is>
      </c>
      <c r="H124" s="16" t="n">
        <v>516.8099999999999</v>
      </c>
      <c r="I124" s="16" t="n">
        <v>7</v>
      </c>
      <c r="J124" s="16" t="inlineStr">
        <is>
          <t>Yes</t>
        </is>
      </c>
      <c r="K124" s="16" t="n"/>
    </row>
    <row r="125" ht="15" customHeight="1" s="13">
      <c r="A125" s="16" t="inlineStr">
        <is>
          <t>332/C8190</t>
        </is>
      </c>
      <c r="B125" s="16" t="inlineStr">
        <is>
          <t>20 WAY MX15 SOCKET HOUSING BLACK</t>
        </is>
      </c>
      <c r="C125" s="16" t="inlineStr">
        <is>
          <t>Lab Consumables</t>
        </is>
      </c>
      <c r="D125" s="16" t="inlineStr">
        <is>
          <t>WH Misc</t>
        </is>
      </c>
      <c r="E125" s="16" t="inlineStr">
        <is>
          <t>NO</t>
        </is>
      </c>
      <c r="F125" s="16" t="inlineStr">
        <is>
          <t>BIN-7-04</t>
        </is>
      </c>
      <c r="G125" s="16" t="inlineStr">
        <is>
          <t>MOTHERSON SUMI WIRING INDIA ( M274</t>
        </is>
      </c>
      <c r="H125" s="16" t="n">
        <v>128.94</v>
      </c>
      <c r="I125" s="16" t="n">
        <v>7</v>
      </c>
      <c r="J125" s="16" t="inlineStr">
        <is>
          <t>Yes</t>
        </is>
      </c>
      <c r="K125" s="16" t="n"/>
    </row>
    <row r="126" ht="15" customHeight="1" s="13">
      <c r="A126" s="16" t="inlineStr">
        <is>
          <t>7214/0001</t>
        </is>
      </c>
      <c r="B126" s="16" t="inlineStr">
        <is>
          <t>4 Way HW090 Socket Housing</t>
        </is>
      </c>
      <c r="C126" s="16" t="inlineStr">
        <is>
          <t>Lab Consumables</t>
        </is>
      </c>
      <c r="D126" s="16" t="inlineStr">
        <is>
          <t>WH Misc</t>
        </is>
      </c>
      <c r="E126" s="16" t="inlineStr">
        <is>
          <t>NO</t>
        </is>
      </c>
      <c r="F126" s="16" t="inlineStr">
        <is>
          <t>L-2</t>
        </is>
      </c>
      <c r="G126" s="16" t="inlineStr">
        <is>
          <t>MOTHERSON SUMI WIRING INDIA ( M274</t>
        </is>
      </c>
      <c r="H126" s="16" t="n">
        <v>19.34</v>
      </c>
      <c r="I126" s="16" t="n">
        <v>21</v>
      </c>
      <c r="J126" s="16" t="inlineStr">
        <is>
          <t>Yes</t>
        </is>
      </c>
      <c r="K126" s="16" t="n"/>
    </row>
    <row r="127" ht="15" customHeight="1" s="13">
      <c r="A127" s="16" t="inlineStr">
        <is>
          <t>7216/0059</t>
        </is>
      </c>
      <c r="B127" s="16" t="inlineStr">
        <is>
          <t>6Way Metripack</t>
        </is>
      </c>
      <c r="C127" s="16" t="inlineStr">
        <is>
          <t>Lab Consumables</t>
        </is>
      </c>
      <c r="D127" s="16" t="inlineStr">
        <is>
          <t>WH Misc</t>
        </is>
      </c>
      <c r="E127" s="16" t="inlineStr">
        <is>
          <t>NO</t>
        </is>
      </c>
      <c r="F127" s="16" t="n"/>
      <c r="G127" s="16" t="inlineStr">
        <is>
          <t>MOTHERSON SUMI WIRING INDIA ( M274</t>
        </is>
      </c>
      <c r="H127" s="16" t="n">
        <v>60.75</v>
      </c>
      <c r="I127" s="16" t="n">
        <v>28</v>
      </c>
      <c r="J127" s="16" t="inlineStr">
        <is>
          <t>Yes</t>
        </is>
      </c>
      <c r="K127" s="16" t="n"/>
    </row>
    <row r="128" ht="15" customHeight="1" s="13">
      <c r="A128" s="16" t="inlineStr">
        <is>
          <t>7219/0016</t>
        </is>
      </c>
      <c r="B128" s="16" t="inlineStr">
        <is>
          <t>12 WAY DT06 SKT HSG KEY A -Rev.Lel.-02</t>
        </is>
      </c>
      <c r="C128" s="16" t="inlineStr">
        <is>
          <t>Lab Consumables</t>
        </is>
      </c>
      <c r="D128" s="16" t="inlineStr">
        <is>
          <t>WH Misc</t>
        </is>
      </c>
      <c r="E128" s="16" t="inlineStr">
        <is>
          <t>NO</t>
        </is>
      </c>
      <c r="F128" s="16" t="inlineStr">
        <is>
          <t>M-2</t>
        </is>
      </c>
      <c r="G128" s="16" t="inlineStr">
        <is>
          <t>MOTHERSON SUMI WIRING INDIA ( M274</t>
        </is>
      </c>
      <c r="H128" s="16" t="n">
        <v>298.04</v>
      </c>
      <c r="I128" s="16" t="n">
        <v>7</v>
      </c>
      <c r="J128" s="16" t="inlineStr">
        <is>
          <t>Yes</t>
        </is>
      </c>
      <c r="K128" s="16" t="n"/>
    </row>
    <row r="129" ht="15" customHeight="1" s="13">
      <c r="A129" s="16" t="inlineStr">
        <is>
          <t>7219/0159</t>
        </is>
      </c>
      <c r="B129" s="16" t="inlineStr">
        <is>
          <t>20 Way DL 040 Fem Sealed</t>
        </is>
      </c>
      <c r="C129" s="16" t="inlineStr">
        <is>
          <t>Lab Consumables</t>
        </is>
      </c>
      <c r="D129" s="16" t="inlineStr">
        <is>
          <t>Wire Seal</t>
        </is>
      </c>
      <c r="E129" s="16" t="inlineStr">
        <is>
          <t>NO</t>
        </is>
      </c>
      <c r="F129" s="16" t="inlineStr">
        <is>
          <t>L-15</t>
        </is>
      </c>
      <c r="G129" s="16" t="inlineStr">
        <is>
          <t>MOTHERSON SUMI WIRING INDIA ( M274</t>
        </is>
      </c>
      <c r="H129" s="16" t="n">
        <v>97.27</v>
      </c>
      <c r="I129" s="16" t="n">
        <v>7</v>
      </c>
      <c r="J129" s="16" t="inlineStr">
        <is>
          <t>Yes</t>
        </is>
      </c>
      <c r="K129" s="16" t="n"/>
    </row>
    <row r="130" ht="15" customHeight="1" s="13">
      <c r="A130" s="16" t="inlineStr">
        <is>
          <t>7219/0158</t>
        </is>
      </c>
      <c r="B130" s="16" t="inlineStr">
        <is>
          <t>20 Way DL 040 Male Sealed</t>
        </is>
      </c>
      <c r="C130" s="16" t="inlineStr">
        <is>
          <t>Lab Consumables</t>
        </is>
      </c>
      <c r="D130" s="16" t="inlineStr">
        <is>
          <t>Wire Seal</t>
        </is>
      </c>
      <c r="E130" s="16" t="inlineStr">
        <is>
          <t>F</t>
        </is>
      </c>
      <c r="F130" s="16" t="inlineStr">
        <is>
          <t>L-15</t>
        </is>
      </c>
      <c r="G130" s="16" t="inlineStr">
        <is>
          <t>MOTHERSON SUMI WIRING INDIA ( M274</t>
        </is>
      </c>
      <c r="H130" s="16" t="n">
        <v>160.14</v>
      </c>
      <c r="I130" s="16" t="n">
        <v>7</v>
      </c>
      <c r="J130" s="16" t="inlineStr">
        <is>
          <t>Yes</t>
        </is>
      </c>
      <c r="K130" s="16" t="n"/>
    </row>
    <row r="131" ht="15" customHeight="1" s="13">
      <c r="A131" s="16" t="inlineStr">
        <is>
          <t>7219/0326</t>
        </is>
      </c>
      <c r="B131" s="16" t="inlineStr">
        <is>
          <t>56 WAY FEM CONN HSG LHS E</t>
        </is>
      </c>
      <c r="C131" s="16" t="inlineStr">
        <is>
          <t>Lab Consumables</t>
        </is>
      </c>
      <c r="D131" s="16" t="inlineStr">
        <is>
          <t>WH Misc</t>
        </is>
      </c>
      <c r="E131" s="16" t="inlineStr">
        <is>
          <t>NO</t>
        </is>
      </c>
      <c r="F131" s="16" t="inlineStr">
        <is>
          <t>L-18</t>
        </is>
      </c>
      <c r="G131" s="16" t="inlineStr">
        <is>
          <t>MOTHERSON SUMI WIRING INDIA ( M274</t>
        </is>
      </c>
      <c r="H131" s="16" t="n">
        <v>282.47</v>
      </c>
      <c r="I131" s="16" t="n">
        <v>7</v>
      </c>
      <c r="J131" s="16" t="inlineStr">
        <is>
          <t>Yes</t>
        </is>
      </c>
      <c r="K131" s="16" t="n"/>
    </row>
    <row r="132" ht="15" customHeight="1" s="13">
      <c r="A132" s="16" t="inlineStr">
        <is>
          <t>332/E3213</t>
        </is>
      </c>
      <c r="B132" s="16" t="inlineStr">
        <is>
          <t>20 WAY MX150 SOCKET HOUSING GREY</t>
        </is>
      </c>
      <c r="C132" s="16" t="inlineStr">
        <is>
          <t>Lab Consumables</t>
        </is>
      </c>
      <c r="D132" s="16" t="inlineStr">
        <is>
          <t>WH Misc</t>
        </is>
      </c>
      <c r="E132" s="16" t="inlineStr">
        <is>
          <t>NO</t>
        </is>
      </c>
      <c r="F132" s="16" t="inlineStr">
        <is>
          <t>L-11</t>
        </is>
      </c>
      <c r="G132" s="16" t="inlineStr">
        <is>
          <t>MOTHERSON SUMI WIRING INDIA ( M274</t>
        </is>
      </c>
      <c r="H132" s="16" t="n">
        <v>136.14</v>
      </c>
      <c r="I132" s="16" t="n">
        <v>14</v>
      </c>
      <c r="J132" s="16" t="inlineStr">
        <is>
          <t>Yes</t>
        </is>
      </c>
      <c r="K132" s="16" t="n"/>
    </row>
    <row r="133" ht="15" customHeight="1" s="13">
      <c r="A133" s="16" t="inlineStr">
        <is>
          <t>7201/0403</t>
        </is>
      </c>
      <c r="B133" s="16" t="inlineStr">
        <is>
          <t>1 Way Pos Lock Housing Straight</t>
        </is>
      </c>
      <c r="C133" s="16" t="inlineStr">
        <is>
          <t>Lab Consumables</t>
        </is>
      </c>
      <c r="D133" s="16" t="inlineStr">
        <is>
          <t>WH Misc</t>
        </is>
      </c>
      <c r="E133" s="16" t="inlineStr">
        <is>
          <t>NO</t>
        </is>
      </c>
      <c r="F133" s="16" t="inlineStr">
        <is>
          <t>L-6</t>
        </is>
      </c>
      <c r="G133" s="16" t="inlineStr">
        <is>
          <t>MOTHERSON SUMI WIRING INDIA ( M274</t>
        </is>
      </c>
      <c r="H133" s="16" t="n">
        <v>1.62</v>
      </c>
      <c r="I133" s="16" t="n">
        <v>50</v>
      </c>
      <c r="J133" s="16" t="inlineStr">
        <is>
          <t>Yes</t>
        </is>
      </c>
      <c r="K133" s="16" t="n"/>
    </row>
    <row r="134" ht="15" customHeight="1" s="13">
      <c r="A134" s="16" t="inlineStr">
        <is>
          <t>7204/0408</t>
        </is>
      </c>
      <c r="B134" s="16" t="inlineStr">
        <is>
          <t>1WAY 6.3 TAB Housing # 4770039160 MSSL</t>
        </is>
      </c>
      <c r="C134" s="16" t="inlineStr">
        <is>
          <t>Lab Consumables</t>
        </is>
      </c>
      <c r="D134" s="16" t="inlineStr">
        <is>
          <t>WH Misc</t>
        </is>
      </c>
      <c r="E134" s="16" t="inlineStr">
        <is>
          <t>NO</t>
        </is>
      </c>
      <c r="F134" s="16" t="n"/>
      <c r="G134" s="16" t="inlineStr">
        <is>
          <t>MOTHERSON SUMI WIRING INDIA ( M274</t>
        </is>
      </c>
      <c r="H134" s="16" t="n">
        <v>4.14</v>
      </c>
      <c r="I134" s="16" t="n">
        <v>14</v>
      </c>
      <c r="J134" s="16" t="inlineStr">
        <is>
          <t>Yes</t>
        </is>
      </c>
      <c r="K134" s="16" t="n"/>
    </row>
    <row r="135" ht="15" customHeight="1" s="13">
      <c r="A135" s="16" t="inlineStr">
        <is>
          <t>7201/0469</t>
        </is>
      </c>
      <c r="B135" s="16" t="inlineStr">
        <is>
          <t>Terminal</t>
        </is>
      </c>
      <c r="C135" s="16" t="inlineStr">
        <is>
          <t>Lab Consumables</t>
        </is>
      </c>
      <c r="D135" s="16" t="inlineStr">
        <is>
          <t>Terminal</t>
        </is>
      </c>
      <c r="E135" s="16" t="inlineStr">
        <is>
          <t>NO</t>
        </is>
      </c>
      <c r="F135" s="16" t="inlineStr">
        <is>
          <t>L-10</t>
        </is>
      </c>
      <c r="G135" s="16" t="inlineStr">
        <is>
          <t>MOTHERSON SUMI WIRING INDIA ( M274</t>
        </is>
      </c>
      <c r="H135" s="16" t="n">
        <v>6.15</v>
      </c>
      <c r="I135" s="16" t="n">
        <v>100</v>
      </c>
      <c r="J135" s="16" t="inlineStr">
        <is>
          <t>Yes</t>
        </is>
      </c>
      <c r="K135" s="16" t="n"/>
    </row>
    <row r="136" ht="15" customHeight="1" s="13">
      <c r="A136" s="16" t="inlineStr">
        <is>
          <t>7201/0465</t>
        </is>
      </c>
      <c r="B136" s="16" t="inlineStr">
        <is>
          <t>6.3 Fem Fastin Faston 2.6-4.0 Dimple</t>
        </is>
      </c>
      <c r="C136" s="16" t="inlineStr">
        <is>
          <t>Lab Consumables</t>
        </is>
      </c>
      <c r="D136" s="16" t="inlineStr">
        <is>
          <t>WH Misc</t>
        </is>
      </c>
      <c r="E136" s="16" t="inlineStr">
        <is>
          <t>NO</t>
        </is>
      </c>
      <c r="F136" s="16" t="inlineStr">
        <is>
          <t>L-5</t>
        </is>
      </c>
      <c r="G136" s="16" t="inlineStr">
        <is>
          <t>MOTHERSON SUMI WIRING INDIA ( M274</t>
        </is>
      </c>
      <c r="H136" s="16" t="n">
        <v>93.75</v>
      </c>
      <c r="I136" s="16" t="n">
        <v>5</v>
      </c>
      <c r="J136" s="16" t="inlineStr">
        <is>
          <t>Yes</t>
        </is>
      </c>
      <c r="K136" s="16" t="n"/>
    </row>
    <row r="137" ht="15" customHeight="1" s="13">
      <c r="A137" s="16" t="inlineStr">
        <is>
          <t>7201/0451</t>
        </is>
      </c>
      <c r="B137" s="16" t="inlineStr">
        <is>
          <t>6.3MM FASTIN TRML (0.5-1.0 CSA) -Rev.Lel.-02</t>
        </is>
      </c>
      <c r="C137" s="16" t="inlineStr">
        <is>
          <t>Lab Consumables</t>
        </is>
      </c>
      <c r="D137" s="16" t="inlineStr">
        <is>
          <t>WH Misc</t>
        </is>
      </c>
      <c r="E137" s="16" t="inlineStr">
        <is>
          <t>NO</t>
        </is>
      </c>
      <c r="F137" s="16" t="inlineStr">
        <is>
          <t>L-5</t>
        </is>
      </c>
      <c r="G137" s="16" t="inlineStr">
        <is>
          <t>MOTHERSON SUMI WIRING INDIA ( M274</t>
        </is>
      </c>
      <c r="H137" s="16" t="n">
        <v>4.61</v>
      </c>
      <c r="I137" s="16" t="n">
        <v>125</v>
      </c>
      <c r="J137" s="16" t="inlineStr">
        <is>
          <t>Yes</t>
        </is>
      </c>
      <c r="K137" s="16" t="n"/>
    </row>
    <row r="138" ht="15" customHeight="1" s="13">
      <c r="A138" s="16" t="inlineStr">
        <is>
          <t>7201/0155</t>
        </is>
      </c>
      <c r="B138" s="16" t="inlineStr">
        <is>
          <t>0.5-0.75 Fem Term Mini Recpt</t>
        </is>
      </c>
      <c r="C138" s="16" t="inlineStr">
        <is>
          <t>Lab Consumables</t>
        </is>
      </c>
      <c r="D138" s="16" t="inlineStr">
        <is>
          <t>WH Misc</t>
        </is>
      </c>
      <c r="E138" s="16" t="inlineStr">
        <is>
          <t>NO</t>
        </is>
      </c>
      <c r="F138" s="16" t="inlineStr">
        <is>
          <t>L-7</t>
        </is>
      </c>
      <c r="G138" s="16" t="inlineStr">
        <is>
          <t>MOTHERSON SUMI WIRING INDIA ( M274</t>
        </is>
      </c>
      <c r="H138" s="16" t="n">
        <v>4.61</v>
      </c>
      <c r="I138" s="16" t="n">
        <v>110</v>
      </c>
      <c r="J138" s="16" t="inlineStr">
        <is>
          <t>Yes</t>
        </is>
      </c>
      <c r="K138" s="16" t="n"/>
    </row>
    <row r="139" ht="15" customHeight="1" s="13">
      <c r="A139" s="16" t="inlineStr">
        <is>
          <t>716/30355</t>
        </is>
      </c>
      <c r="B139" s="16" t="inlineStr">
        <is>
          <t>MINI FUSE - 20A (P493).</t>
        </is>
      </c>
      <c r="C139" s="16" t="inlineStr">
        <is>
          <t>Lab Consumables</t>
        </is>
      </c>
      <c r="D139" s="16" t="inlineStr">
        <is>
          <t>Fuse</t>
        </is>
      </c>
      <c r="E139" s="16" t="inlineStr">
        <is>
          <t>NO</t>
        </is>
      </c>
      <c r="F139" s="16" t="inlineStr">
        <is>
          <t>BIN-4-04</t>
        </is>
      </c>
      <c r="G139" s="16" t="inlineStr">
        <is>
          <t>MOTHERSON SUMI WIRING INDIA ( M274</t>
        </is>
      </c>
      <c r="H139" s="16" t="n">
        <v>2.15</v>
      </c>
      <c r="I139" s="16" t="n">
        <v>5</v>
      </c>
      <c r="J139" s="16" t="inlineStr">
        <is>
          <t>Yes</t>
        </is>
      </c>
      <c r="K139" s="16" t="n"/>
    </row>
    <row r="140" ht="15" customHeight="1" s="13">
      <c r="A140" s="16" t="inlineStr">
        <is>
          <t>716/30354</t>
        </is>
      </c>
      <c r="B140" s="16" t="inlineStr">
        <is>
          <t>MINI FUSE - 15A</t>
        </is>
      </c>
      <c r="C140" s="16" t="inlineStr">
        <is>
          <t>Lab Consumables</t>
        </is>
      </c>
      <c r="D140" s="16" t="inlineStr">
        <is>
          <t>Fuse</t>
        </is>
      </c>
      <c r="E140" s="16" t="inlineStr">
        <is>
          <t>NO</t>
        </is>
      </c>
      <c r="F140" s="16" t="n"/>
      <c r="G140" s="16" t="inlineStr">
        <is>
          <t>MOTHERSON SUMI WIRING INDIA ( M274</t>
        </is>
      </c>
      <c r="H140" s="16" t="n">
        <v>2.15</v>
      </c>
      <c r="I140" s="16" t="n">
        <v>40</v>
      </c>
      <c r="J140" s="16" t="inlineStr">
        <is>
          <t>Yes</t>
        </is>
      </c>
      <c r="K140" s="16" t="n"/>
    </row>
    <row r="141" ht="15" customHeight="1" s="13">
      <c r="A141" s="16" t="inlineStr">
        <is>
          <t>716/30353</t>
        </is>
      </c>
      <c r="B141" s="16" t="inlineStr">
        <is>
          <t>MINI FUSE - 10A 54890048</t>
        </is>
      </c>
      <c r="C141" s="16" t="inlineStr">
        <is>
          <t>Lab Consumables</t>
        </is>
      </c>
      <c r="D141" s="16" t="inlineStr">
        <is>
          <t>Fuse</t>
        </is>
      </c>
      <c r="E141" s="16" t="inlineStr">
        <is>
          <t>NO</t>
        </is>
      </c>
      <c r="F141" s="16" t="inlineStr">
        <is>
          <t>BIN-4-03</t>
        </is>
      </c>
      <c r="G141" s="16" t="inlineStr">
        <is>
          <t>MOTHERSON SUMI WIRING INDIA ( M274</t>
        </is>
      </c>
      <c r="H141" s="16" t="n">
        <v>2.15</v>
      </c>
      <c r="I141" s="16" t="n">
        <v>30</v>
      </c>
      <c r="J141" s="16" t="inlineStr">
        <is>
          <t>Yes</t>
        </is>
      </c>
      <c r="K141" s="16" t="n"/>
    </row>
    <row r="142" ht="15" customHeight="1" s="13">
      <c r="A142" s="16" t="inlineStr">
        <is>
          <t>716/30352</t>
        </is>
      </c>
      <c r="B142" s="16" t="inlineStr">
        <is>
          <t>MINI FUSE - 7.5A 54890047</t>
        </is>
      </c>
      <c r="C142" s="16" t="inlineStr">
        <is>
          <t>Lab Consumables</t>
        </is>
      </c>
      <c r="D142" s="16" t="inlineStr">
        <is>
          <t>Fuse</t>
        </is>
      </c>
      <c r="E142" s="16" t="inlineStr">
        <is>
          <t>NO</t>
        </is>
      </c>
      <c r="F142" s="16" t="inlineStr">
        <is>
          <t>BIN-4-03</t>
        </is>
      </c>
      <c r="G142" s="16" t="inlineStr">
        <is>
          <t>MOTHERSON SUMI WIRING INDIA ( M274</t>
        </is>
      </c>
      <c r="H142" s="16" t="n">
        <v>2.15</v>
      </c>
      <c r="I142" s="16" t="n">
        <v>10</v>
      </c>
      <c r="J142" s="16" t="inlineStr">
        <is>
          <t>Yes</t>
        </is>
      </c>
      <c r="K142" s="16" t="n"/>
    </row>
    <row r="143" ht="15" customHeight="1" s="13">
      <c r="A143" s="16" t="inlineStr">
        <is>
          <t>716/30351</t>
        </is>
      </c>
      <c r="B143" s="16" t="inlineStr">
        <is>
          <t>USE 5 A 5490083</t>
        </is>
      </c>
      <c r="C143" s="16" t="inlineStr">
        <is>
          <t>Lab Consumables</t>
        </is>
      </c>
      <c r="D143" s="16" t="inlineStr">
        <is>
          <t>WH Misc</t>
        </is>
      </c>
      <c r="E143" s="16" t="inlineStr">
        <is>
          <t>NO</t>
        </is>
      </c>
      <c r="F143" s="16" t="inlineStr">
        <is>
          <t>BIN-4-03</t>
        </is>
      </c>
      <c r="G143" s="16" t="inlineStr">
        <is>
          <t>MOTHERSON SUMI WIRING INDIA ( M274</t>
        </is>
      </c>
      <c r="H143" s="16" t="n">
        <v>2.15</v>
      </c>
      <c r="I143" s="16" t="n">
        <v>20</v>
      </c>
      <c r="J143" s="16" t="inlineStr">
        <is>
          <t>Yes</t>
        </is>
      </c>
      <c r="K143" s="16" t="n"/>
    </row>
    <row r="144" ht="15" customHeight="1" s="13">
      <c r="A144" s="16" t="inlineStr">
        <is>
          <t>716/30350</t>
        </is>
      </c>
      <c r="B144" s="16" t="inlineStr">
        <is>
          <t>USE 3 A 51000578</t>
        </is>
      </c>
      <c r="C144" s="16" t="inlineStr">
        <is>
          <t>Lab Consumables</t>
        </is>
      </c>
      <c r="D144" s="16" t="inlineStr">
        <is>
          <t>WH Misc</t>
        </is>
      </c>
      <c r="E144" s="16" t="inlineStr">
        <is>
          <t>NO</t>
        </is>
      </c>
      <c r="F144" s="16" t="inlineStr">
        <is>
          <t>BIN-4-04</t>
        </is>
      </c>
      <c r="G144" s="16" t="inlineStr">
        <is>
          <t>MOTHERSON SUMI WIRING INDIA ( M274</t>
        </is>
      </c>
      <c r="H144" s="16" t="n">
        <v>7.41</v>
      </c>
      <c r="I144" s="16" t="n">
        <v>15</v>
      </c>
      <c r="J144" s="16" t="inlineStr">
        <is>
          <t>Yes</t>
        </is>
      </c>
      <c r="K144" s="16" t="n"/>
    </row>
    <row r="145" ht="15" customHeight="1" s="13">
      <c r="A145" s="16" t="inlineStr">
        <is>
          <t>7219/0013</t>
        </is>
      </c>
      <c r="B145" s="16" t="inlineStr">
        <is>
          <t>10 WAY 6.3 FASTIN SWITCH HOUSING</t>
        </is>
      </c>
      <c r="C145" s="16" t="inlineStr">
        <is>
          <t>Lab Consumables</t>
        </is>
      </c>
      <c r="D145" s="16" t="inlineStr">
        <is>
          <t>WH Misc</t>
        </is>
      </c>
      <c r="E145" s="16" t="inlineStr">
        <is>
          <t>NO</t>
        </is>
      </c>
      <c r="F145" s="16" t="inlineStr">
        <is>
          <t>M-3</t>
        </is>
      </c>
      <c r="G145" s="16" t="inlineStr">
        <is>
          <t>MOTHERSON SUMI WIRING INDIA ( M274</t>
        </is>
      </c>
      <c r="H145" s="16" t="n">
        <v>11.48</v>
      </c>
      <c r="I145" s="16" t="n">
        <v>25</v>
      </c>
      <c r="J145" s="16" t="inlineStr">
        <is>
          <t>Yes</t>
        </is>
      </c>
      <c r="K145" s="16" t="n"/>
    </row>
    <row r="146" ht="15" customHeight="1" s="13">
      <c r="A146" s="16" t="inlineStr">
        <is>
          <t>7219/0014</t>
        </is>
      </c>
      <c r="B146" s="16" t="inlineStr">
        <is>
          <t>0 WAY 6.3 FASTIN SWITCH HSG RED</t>
        </is>
      </c>
      <c r="C146" s="16" t="inlineStr">
        <is>
          <t>Lab Consumables</t>
        </is>
      </c>
      <c r="D146" s="16" t="inlineStr">
        <is>
          <t>WH Misc</t>
        </is>
      </c>
      <c r="E146" s="16" t="inlineStr">
        <is>
          <t>NO</t>
        </is>
      </c>
      <c r="F146" s="16" t="inlineStr">
        <is>
          <t>L-9</t>
        </is>
      </c>
      <c r="G146" s="16" t="inlineStr">
        <is>
          <t>MOTHERSON SUMI WIRING INDIA ( M274</t>
        </is>
      </c>
      <c r="H146" s="16" t="n">
        <v>53.54</v>
      </c>
      <c r="I146" s="16" t="n">
        <v>5</v>
      </c>
      <c r="J146" s="16" t="inlineStr">
        <is>
          <t>Yes</t>
        </is>
      </c>
      <c r="K146" s="16" t="n"/>
    </row>
    <row r="147" ht="15" customHeight="1" s="13">
      <c r="A147" s="16" t="inlineStr">
        <is>
          <t>7236/0003</t>
        </is>
      </c>
      <c r="B147" s="16" t="inlineStr">
        <is>
          <t>Housing ignition switch plug Merit</t>
        </is>
      </c>
      <c r="C147" s="16" t="inlineStr">
        <is>
          <t>Lab Consumables</t>
        </is>
      </c>
      <c r="D147" s="16" t="inlineStr">
        <is>
          <t>Cavity Plug</t>
        </is>
      </c>
      <c r="E147" s="16" t="inlineStr">
        <is>
          <t>NO</t>
        </is>
      </c>
      <c r="F147" s="16" t="inlineStr">
        <is>
          <t>L-4</t>
        </is>
      </c>
      <c r="G147" s="16" t="inlineStr">
        <is>
          <t>MOTHERSON SUMI WIRING INDIA ( M274</t>
        </is>
      </c>
      <c r="H147" s="16" t="n">
        <v>59.58</v>
      </c>
      <c r="I147" s="16" t="n">
        <v>5</v>
      </c>
      <c r="J147" s="16" t="inlineStr">
        <is>
          <t>Yes</t>
        </is>
      </c>
      <c r="K147" s="16" t="n"/>
    </row>
    <row r="148" ht="15" customHeight="1" s="13">
      <c r="A148" s="16" t="inlineStr">
        <is>
          <t>7234/0003</t>
        </is>
      </c>
      <c r="B148" s="16" t="inlineStr">
        <is>
          <t>Housing ignition switch plug Merit</t>
        </is>
      </c>
      <c r="C148" s="16" t="inlineStr">
        <is>
          <t>Lab Consumables</t>
        </is>
      </c>
      <c r="D148" s="16" t="inlineStr">
        <is>
          <t>Cavity Plug</t>
        </is>
      </c>
      <c r="E148" s="16" t="inlineStr">
        <is>
          <t>NO</t>
        </is>
      </c>
      <c r="F148" s="16" t="inlineStr">
        <is>
          <t>L-4</t>
        </is>
      </c>
      <c r="G148" s="16" t="inlineStr">
        <is>
          <t>MOTHERSON SUMI WIRING INDIA ( M274</t>
        </is>
      </c>
      <c r="H148" s="16" t="n">
        <v>59.58</v>
      </c>
      <c r="I148" s="16" t="n">
        <v>5</v>
      </c>
      <c r="J148" s="16" t="inlineStr">
        <is>
          <t>Yes</t>
        </is>
      </c>
      <c r="K148" s="16" t="n"/>
    </row>
    <row r="149" ht="15" customHeight="1" s="13">
      <c r="A149" s="16" t="inlineStr">
        <is>
          <t>7239/0031</t>
        </is>
      </c>
      <c r="B149" s="16" t="inlineStr">
        <is>
          <t>36 Way Fem Mini Recpt Hsg</t>
        </is>
      </c>
      <c r="C149" s="16" t="inlineStr">
        <is>
          <t>Lab Consumables</t>
        </is>
      </c>
      <c r="D149" s="16" t="inlineStr">
        <is>
          <t>WH Misc</t>
        </is>
      </c>
      <c r="E149" s="16" t="inlineStr">
        <is>
          <t>NO</t>
        </is>
      </c>
      <c r="F149" s="16" t="n"/>
      <c r="G149" s="16" t="inlineStr">
        <is>
          <t>MOTHERSON SUMI WIRING INDIA ( M274</t>
        </is>
      </c>
      <c r="H149" s="16" t="n">
        <v>154.78</v>
      </c>
      <c r="I149" s="16" t="n">
        <v>5</v>
      </c>
      <c r="J149" s="16" t="inlineStr">
        <is>
          <t>Yes</t>
        </is>
      </c>
      <c r="K149" s="16" t="n"/>
    </row>
    <row r="150" ht="15" customHeight="1" s="13">
      <c r="A150" s="16" t="inlineStr">
        <is>
          <t>7239/0058</t>
        </is>
      </c>
      <c r="B150" s="16" t="inlineStr">
        <is>
          <t>Fuse Mini 2 Mini Relay Mod 18W.4 -Rev.Lel.-01</t>
        </is>
      </c>
      <c r="C150" s="16" t="inlineStr">
        <is>
          <t>Lab Consumables</t>
        </is>
      </c>
      <c r="D150" s="16" t="inlineStr">
        <is>
          <t>Fuse</t>
        </is>
      </c>
      <c r="E150" s="16" t="inlineStr">
        <is>
          <t>NO</t>
        </is>
      </c>
      <c r="F150" s="16" t="inlineStr">
        <is>
          <t>BIN -4-02</t>
        </is>
      </c>
      <c r="G150" s="16" t="inlineStr">
        <is>
          <t>MOTHERSON SUMI WIRING INDIA ( M274</t>
        </is>
      </c>
      <c r="H150" s="16" t="n">
        <v>119.17</v>
      </c>
      <c r="I150" s="16" t="n">
        <v>21</v>
      </c>
      <c r="J150" s="16" t="inlineStr">
        <is>
          <t>Yes</t>
        </is>
      </c>
      <c r="K150" s="16" t="n"/>
    </row>
    <row r="151" ht="15" customHeight="1" s="13">
      <c r="A151" s="16" t="inlineStr">
        <is>
          <t>7239/0059</t>
        </is>
      </c>
      <c r="B151" s="16" t="inlineStr">
        <is>
          <t>6W Mini Fuse/Micro Relay Box</t>
        </is>
      </c>
      <c r="C151" s="16" t="inlineStr">
        <is>
          <t>Lab Consumables</t>
        </is>
      </c>
      <c r="D151" s="16" t="inlineStr">
        <is>
          <t>Fuse</t>
        </is>
      </c>
      <c r="E151" s="16" t="inlineStr">
        <is>
          <t>NO</t>
        </is>
      </c>
      <c r="F151" s="16" t="inlineStr">
        <is>
          <t>L-11</t>
        </is>
      </c>
      <c r="G151" s="16" t="inlineStr">
        <is>
          <t>MOTHERSON SUMI WIRING INDIA ( M274</t>
        </is>
      </c>
      <c r="H151" s="16" t="n">
        <v>129.86</v>
      </c>
      <c r="I151" s="16" t="n">
        <v>21</v>
      </c>
      <c r="J151" s="16" t="inlineStr">
        <is>
          <t>Yes</t>
        </is>
      </c>
      <c r="K151" s="16" t="n"/>
    </row>
    <row r="152" ht="15" customHeight="1" s="13">
      <c r="A152" s="16" t="inlineStr">
        <is>
          <t>7212/0031</t>
        </is>
      </c>
      <c r="B152" s="16" t="inlineStr">
        <is>
          <t>2 WAY GREEN DT06 WEDGE</t>
        </is>
      </c>
      <c r="C152" s="16" t="inlineStr">
        <is>
          <t>Lab Consumables</t>
        </is>
      </c>
      <c r="D152" s="16" t="inlineStr">
        <is>
          <t>WH Misc</t>
        </is>
      </c>
      <c r="E152" s="16" t="inlineStr">
        <is>
          <t>NO</t>
        </is>
      </c>
      <c r="F152" s="16" t="inlineStr">
        <is>
          <t>L-6</t>
        </is>
      </c>
      <c r="G152" s="16" t="inlineStr">
        <is>
          <t>MOTHERSON SUMI WIRING INDIA ( M274</t>
        </is>
      </c>
      <c r="H152" s="16" t="n">
        <v>4.54</v>
      </c>
      <c r="I152" s="16" t="n">
        <v>85</v>
      </c>
      <c r="J152" s="16" t="inlineStr">
        <is>
          <t>Yes</t>
        </is>
      </c>
      <c r="K152" s="16" t="n"/>
    </row>
    <row r="153" ht="15" customHeight="1" s="13">
      <c r="A153" s="16" t="inlineStr">
        <is>
          <t>7201/0105</t>
        </is>
      </c>
      <c r="B153" s="16" t="inlineStr">
        <is>
          <t>0.5-1.0mm2 SIZE 16 SKT TE -Rev.Lel.-03</t>
        </is>
      </c>
      <c r="C153" s="16" t="inlineStr">
        <is>
          <t>Lab Consumables</t>
        </is>
      </c>
      <c r="D153" s="16" t="inlineStr">
        <is>
          <t>WH Misc</t>
        </is>
      </c>
      <c r="E153" s="16" t="inlineStr">
        <is>
          <t>NO</t>
        </is>
      </c>
      <c r="F153" s="16" t="inlineStr">
        <is>
          <t>L-10</t>
        </is>
      </c>
      <c r="G153" s="16" t="inlineStr">
        <is>
          <t>MOTHERSON SUMI WIRING INDIA ( M274</t>
        </is>
      </c>
      <c r="H153" s="16" t="n">
        <v>12.98</v>
      </c>
      <c r="I153" s="16" t="n">
        <v>390</v>
      </c>
      <c r="J153" s="16" t="inlineStr">
        <is>
          <t>Yes</t>
        </is>
      </c>
      <c r="K153" s="16" t="n"/>
    </row>
    <row r="154" ht="15" customHeight="1" s="13">
      <c r="A154" s="16" t="inlineStr">
        <is>
          <t>7212/0052</t>
        </is>
      </c>
      <c r="B154" s="16" t="inlineStr">
        <is>
          <t>2 Way DT06 Socket Housing</t>
        </is>
      </c>
      <c r="C154" s="16" t="inlineStr">
        <is>
          <t>Lab Consumables</t>
        </is>
      </c>
      <c r="D154" s="16" t="inlineStr">
        <is>
          <t>WH Misc</t>
        </is>
      </c>
      <c r="E154" s="16" t="inlineStr">
        <is>
          <t>NO</t>
        </is>
      </c>
      <c r="F154" s="16" t="inlineStr">
        <is>
          <t>L-9</t>
        </is>
      </c>
      <c r="G154" s="16" t="inlineStr">
        <is>
          <t>TE CONNECTIVITY</t>
        </is>
      </c>
      <c r="H154" s="16" t="n">
        <v>66.65000000000001</v>
      </c>
      <c r="I154" s="16" t="n">
        <v>60</v>
      </c>
      <c r="J154" s="16" t="inlineStr">
        <is>
          <t>Yes</t>
        </is>
      </c>
      <c r="K154" s="16" t="n"/>
    </row>
    <row r="155" ht="15" customHeight="1" s="13">
      <c r="A155" s="16" t="inlineStr">
        <is>
          <t>7210/0224</t>
        </is>
      </c>
      <c r="B155" s="16" t="inlineStr">
        <is>
          <t>Wire Seal 1.8-2.9mm HX187 Dark Green</t>
        </is>
      </c>
      <c r="C155" s="16" t="inlineStr">
        <is>
          <t>Lab Consumables</t>
        </is>
      </c>
      <c r="D155" s="16" t="inlineStr">
        <is>
          <t>Wire Seal</t>
        </is>
      </c>
      <c r="E155" s="16" t="inlineStr">
        <is>
          <t>NO</t>
        </is>
      </c>
      <c r="F155" s="16" t="n"/>
      <c r="G155" s="16" t="inlineStr">
        <is>
          <t>MOTHERSON SUMI WIRING INDIA ( M274</t>
        </is>
      </c>
      <c r="H155" s="16" t="n">
        <v>8.24</v>
      </c>
      <c r="I155" s="16" t="n">
        <v>10</v>
      </c>
      <c r="J155" s="16" t="inlineStr">
        <is>
          <t>Yes</t>
        </is>
      </c>
      <c r="K155" s="16" t="n"/>
    </row>
    <row r="156" ht="15" customHeight="1" s="13">
      <c r="A156" s="16" t="inlineStr">
        <is>
          <t>7201/0470</t>
        </is>
      </c>
      <c r="B156" s="16" t="inlineStr">
        <is>
          <t>6.3 Fem Fastin Faston 4.0-6.0 Dimple</t>
        </is>
      </c>
      <c r="C156" s="16" t="inlineStr">
        <is>
          <t>Lab Consumables</t>
        </is>
      </c>
      <c r="D156" s="16" t="inlineStr">
        <is>
          <t>WH Misc</t>
        </is>
      </c>
      <c r="E156" s="16" t="inlineStr">
        <is>
          <t>NO</t>
        </is>
      </c>
      <c r="F156" s="16" t="inlineStr">
        <is>
          <t>L-10</t>
        </is>
      </c>
      <c r="G156" s="16" t="inlineStr">
        <is>
          <t>TE CONNECTIVITY</t>
        </is>
      </c>
      <c r="H156" s="16" t="n">
        <v>15.36</v>
      </c>
      <c r="I156" s="16" t="n">
        <v>100</v>
      </c>
      <c r="J156" s="16" t="inlineStr">
        <is>
          <t>Yes</t>
        </is>
      </c>
      <c r="K156" s="16" t="n"/>
    </row>
    <row r="157" ht="15" customHeight="1" s="13">
      <c r="A157" s="16" t="inlineStr">
        <is>
          <t>7243/0361</t>
        </is>
      </c>
      <c r="B157" s="16" t="inlineStr">
        <is>
          <t>2W DT06 Orange wedge (HP's only, unsealed)</t>
        </is>
      </c>
      <c r="C157" s="16" t="inlineStr">
        <is>
          <t>Lab Consumables</t>
        </is>
      </c>
      <c r="D157" s="16" t="inlineStr">
        <is>
          <t>Wire Seal</t>
        </is>
      </c>
      <c r="E157" s="16" t="inlineStr">
        <is>
          <t>NO</t>
        </is>
      </c>
      <c r="F157" s="16" t="inlineStr">
        <is>
          <t>EMC 3</t>
        </is>
      </c>
      <c r="G157" s="16" t="inlineStr">
        <is>
          <t>MOTHERSON SUMI WIRING INDIA ( M274</t>
        </is>
      </c>
      <c r="H157" s="16" t="n">
        <v>34.84</v>
      </c>
      <c r="I157" s="16" t="n">
        <v>20</v>
      </c>
      <c r="J157" s="16" t="inlineStr">
        <is>
          <t>Yes</t>
        </is>
      </c>
      <c r="K157" s="16" t="n"/>
    </row>
    <row r="158" ht="15" customHeight="1" s="13">
      <c r="A158" s="16" t="inlineStr">
        <is>
          <t>7212/0081</t>
        </is>
      </c>
      <c r="B158" s="16" t="inlineStr">
        <is>
          <t>2 WAY DT06 SKT HSG NO END CAP</t>
        </is>
      </c>
      <c r="C158" s="16" t="inlineStr">
        <is>
          <t>Lab Consumables</t>
        </is>
      </c>
      <c r="D158" s="16" t="inlineStr">
        <is>
          <t>WH Misc</t>
        </is>
      </c>
      <c r="E158" s="16" t="inlineStr">
        <is>
          <t>NO</t>
        </is>
      </c>
      <c r="F158" s="16" t="inlineStr">
        <is>
          <t>S-5</t>
        </is>
      </c>
      <c r="G158" s="16" t="inlineStr">
        <is>
          <t>TE CONNECTIVITY</t>
        </is>
      </c>
      <c r="H158" s="16" t="n">
        <v>45.45</v>
      </c>
      <c r="I158" s="16" t="n">
        <v>60</v>
      </c>
      <c r="J158" s="16" t="inlineStr">
        <is>
          <t>Yes</t>
        </is>
      </c>
      <c r="K158" s="16" t="n"/>
    </row>
    <row r="159" ht="15" customHeight="1" s="13">
      <c r="A159" s="16" t="inlineStr">
        <is>
          <t>7212/0044</t>
        </is>
      </c>
      <c r="B159" s="16" t="inlineStr">
        <is>
          <t>2 Way Superseal Skt Housing</t>
        </is>
      </c>
      <c r="C159" s="16" t="inlineStr">
        <is>
          <t>Lab Consumables</t>
        </is>
      </c>
      <c r="D159" s="16" t="inlineStr">
        <is>
          <t>Wire Seal</t>
        </is>
      </c>
      <c r="E159" s="16" t="inlineStr">
        <is>
          <t>NO</t>
        </is>
      </c>
      <c r="F159" s="16" t="inlineStr">
        <is>
          <t>L-4</t>
        </is>
      </c>
      <c r="G159" s="16" t="inlineStr">
        <is>
          <t>TE CONNECTIVITY</t>
        </is>
      </c>
      <c r="H159" s="16" t="n">
        <v>16.9</v>
      </c>
      <c r="I159" s="16" t="n">
        <v>10</v>
      </c>
      <c r="J159" s="16" t="inlineStr">
        <is>
          <t>Yes</t>
        </is>
      </c>
      <c r="K159" s="16" t="n"/>
    </row>
    <row r="160" ht="15" customHeight="1" s="13">
      <c r="A160" s="16" t="inlineStr">
        <is>
          <t>7210/0044</t>
        </is>
      </c>
      <c r="B160" s="16" t="inlineStr">
        <is>
          <t>Wire Seal 1.70-2.40mm Superseal Yellow</t>
        </is>
      </c>
      <c r="C160" s="16" t="inlineStr">
        <is>
          <t>Lab Consumables</t>
        </is>
      </c>
      <c r="D160" s="16" t="inlineStr">
        <is>
          <t>Wire Seal</t>
        </is>
      </c>
      <c r="E160" s="16" t="inlineStr">
        <is>
          <t>NO</t>
        </is>
      </c>
      <c r="F160" s="16" t="inlineStr">
        <is>
          <t>seal box</t>
        </is>
      </c>
      <c r="G160" s="16" t="inlineStr">
        <is>
          <t>MOTHERSON SUMI WIRING INDIA ( M274</t>
        </is>
      </c>
      <c r="H160" s="16" t="n">
        <v>1.54</v>
      </c>
      <c r="I160" s="16" t="n">
        <v>10</v>
      </c>
      <c r="J160" s="16" t="inlineStr">
        <is>
          <t>Yes</t>
        </is>
      </c>
      <c r="K160" s="16" t="n"/>
    </row>
    <row r="161" ht="15" customHeight="1" s="13">
      <c r="A161" s="16" t="inlineStr">
        <is>
          <t>7207/1514</t>
        </is>
      </c>
      <c r="B161" s="16" t="inlineStr">
        <is>
          <t>Ring Terminal M10 10.0-16.0</t>
        </is>
      </c>
      <c r="C161" s="16" t="inlineStr">
        <is>
          <t>Lab Consumables</t>
        </is>
      </c>
      <c r="D161" s="16" t="inlineStr">
        <is>
          <t>Terminal</t>
        </is>
      </c>
      <c r="E161" s="16" t="inlineStr">
        <is>
          <t>NO</t>
        </is>
      </c>
      <c r="F161" s="16" t="n"/>
      <c r="G161" s="16" t="inlineStr">
        <is>
          <t>MOTHERSON SUMI WIRING INDIA ( M274</t>
        </is>
      </c>
      <c r="H161" s="16" t="n">
        <v>125.28</v>
      </c>
      <c r="I161" s="16" t="n">
        <v>10</v>
      </c>
      <c r="J161" s="16" t="inlineStr">
        <is>
          <t>Yes</t>
        </is>
      </c>
      <c r="K161" s="16" t="n"/>
    </row>
    <row r="162" ht="15" customHeight="1" s="13">
      <c r="A162" s="16" t="inlineStr">
        <is>
          <t>7207/1417</t>
        </is>
      </c>
      <c r="B162" s="16" t="inlineStr">
        <is>
          <t>Ring Terminal M8 1.0-2.5</t>
        </is>
      </c>
      <c r="C162" s="16" t="inlineStr">
        <is>
          <t>Lab Consumables</t>
        </is>
      </c>
      <c r="D162" s="16" t="inlineStr">
        <is>
          <t>Terminal</t>
        </is>
      </c>
      <c r="E162" s="16" t="inlineStr">
        <is>
          <t>NO</t>
        </is>
      </c>
      <c r="F162" s="16" t="inlineStr">
        <is>
          <t>L-7</t>
        </is>
      </c>
      <c r="G162" s="16" t="inlineStr">
        <is>
          <t>MOTHERSON SUMI WIRING INDIA ( M274</t>
        </is>
      </c>
      <c r="H162" s="16" t="n">
        <v>44.31</v>
      </c>
      <c r="I162" s="16" t="n">
        <v>5</v>
      </c>
      <c r="J162" s="16" t="inlineStr">
        <is>
          <t>Yes</t>
        </is>
      </c>
      <c r="K162" s="16" t="n"/>
    </row>
    <row r="163" ht="15" customHeight="1" s="13">
      <c r="A163" s="16" t="inlineStr">
        <is>
          <t>7207/1302</t>
        </is>
      </c>
      <c r="B163" s="16" t="inlineStr">
        <is>
          <t>RING TERMINAL M6 4.0-6.0</t>
        </is>
      </c>
      <c r="C163" s="16" t="inlineStr">
        <is>
          <t>Lab Consumables</t>
        </is>
      </c>
      <c r="D163" s="16" t="inlineStr">
        <is>
          <t>Terminal</t>
        </is>
      </c>
      <c r="E163" s="16" t="inlineStr">
        <is>
          <t>NO</t>
        </is>
      </c>
      <c r="F163" s="16" t="inlineStr">
        <is>
          <t>L-5</t>
        </is>
      </c>
      <c r="G163" s="16" t="inlineStr">
        <is>
          <t>MOTHERSON SUMI WIRING INDIA ( M274</t>
        </is>
      </c>
      <c r="H163" s="16" t="n">
        <v>9.619999999999999</v>
      </c>
      <c r="I163" s="16" t="n">
        <v>5</v>
      </c>
      <c r="J163" s="16" t="inlineStr">
        <is>
          <t>Yes</t>
        </is>
      </c>
      <c r="K163" s="16" t="n"/>
    </row>
    <row r="164" ht="15" customHeight="1" s="13">
      <c r="A164" s="16" t="inlineStr">
        <is>
          <t>7201/0094</t>
        </is>
      </c>
      <c r="B164" s="16" t="inlineStr">
        <is>
          <t>0.75-1.50mm² Socket Terminal Superseal</t>
        </is>
      </c>
      <c r="C164" s="16" t="inlineStr">
        <is>
          <t>Lab Consumables</t>
        </is>
      </c>
      <c r="D164" s="16" t="inlineStr">
        <is>
          <t>Terminal</t>
        </is>
      </c>
      <c r="E164" s="16" t="inlineStr">
        <is>
          <t>NO</t>
        </is>
      </c>
      <c r="F164" s="16" t="inlineStr">
        <is>
          <t>D2-1</t>
        </is>
      </c>
      <c r="G164" s="16" t="inlineStr">
        <is>
          <t>MOTHERSON SUMI WIRING INDIA ( M274</t>
        </is>
      </c>
      <c r="H164" s="16" t="n">
        <v>3.07</v>
      </c>
      <c r="I164" s="16" t="n">
        <v>70</v>
      </c>
      <c r="J164" s="16" t="inlineStr">
        <is>
          <t>Yes</t>
        </is>
      </c>
      <c r="K164" s="16" t="n"/>
    </row>
    <row r="165" ht="15" customHeight="1" s="13">
      <c r="A165" s="16" t="inlineStr">
        <is>
          <t>7201/0069</t>
        </is>
      </c>
      <c r="B165" s="16" t="inlineStr">
        <is>
          <t>0.75-2.00mm² (14-18AWG) Skt term</t>
        </is>
      </c>
      <c r="C165" s="16" t="inlineStr">
        <is>
          <t>Lab Consumables</t>
        </is>
      </c>
      <c r="D165" s="16" t="inlineStr">
        <is>
          <t>WH Misc</t>
        </is>
      </c>
      <c r="E165" s="16" t="inlineStr">
        <is>
          <t>NO</t>
        </is>
      </c>
      <c r="F165" s="16" t="inlineStr">
        <is>
          <t>D1-3</t>
        </is>
      </c>
      <c r="G165" s="16" t="inlineStr">
        <is>
          <t>TE CONNECTIVITY</t>
        </is>
      </c>
      <c r="H165" s="16" t="n">
        <v>10.6</v>
      </c>
      <c r="I165" s="16" t="n">
        <v>110</v>
      </c>
      <c r="J165" s="16" t="inlineStr">
        <is>
          <t>Yes</t>
        </is>
      </c>
      <c r="K165" s="16" t="n"/>
    </row>
    <row r="166" ht="15" customHeight="1" s="13">
      <c r="A166" s="16" t="inlineStr">
        <is>
          <t>332/E0988</t>
        </is>
      </c>
      <c r="B166" s="16" t="inlineStr">
        <is>
          <t>DEUTSCH DT 2 WAY BLANKING CAP -Rev.Lel.-01</t>
        </is>
      </c>
      <c r="C166" s="16" t="inlineStr">
        <is>
          <t>Lab Consumables</t>
        </is>
      </c>
      <c r="D166" s="16" t="inlineStr">
        <is>
          <t>WH Misc</t>
        </is>
      </c>
      <c r="E166" s="16" t="inlineStr">
        <is>
          <t>NO</t>
        </is>
      </c>
      <c r="F166" s="16" t="n"/>
      <c r="G166" s="16" t="inlineStr">
        <is>
          <t>MOTHERSON SUMI WIRING INDIA ( M274</t>
        </is>
      </c>
      <c r="H166" s="16" t="n">
        <v>12.64</v>
      </c>
      <c r="I166" s="16" t="n">
        <v>5</v>
      </c>
      <c r="J166" s="16" t="inlineStr">
        <is>
          <t>Yes</t>
        </is>
      </c>
      <c r="K166" s="16" t="n"/>
    </row>
    <row r="167" ht="15" customHeight="1" s="13">
      <c r="A167" s="16" t="inlineStr">
        <is>
          <t>7243/0460</t>
        </is>
      </c>
      <c r="B167" s="16" t="inlineStr">
        <is>
          <t>BRACKET FOR MTA FUSE MODU</t>
        </is>
      </c>
      <c r="C167" s="16" t="inlineStr">
        <is>
          <t>Lab Consumables</t>
        </is>
      </c>
      <c r="D167" s="16" t="inlineStr">
        <is>
          <t>Fuse</t>
        </is>
      </c>
      <c r="E167" s="16" t="inlineStr">
        <is>
          <t>NO</t>
        </is>
      </c>
      <c r="F167" s="16" t="inlineStr">
        <is>
          <t>L-6</t>
        </is>
      </c>
      <c r="G167" s="16" t="inlineStr">
        <is>
          <t>MOTHERSON SUMI WIRING INDIA ( M274</t>
        </is>
      </c>
      <c r="H167" s="16" t="n">
        <v>114.58</v>
      </c>
      <c r="I167" s="16" t="n">
        <v>15</v>
      </c>
      <c r="J167" s="16" t="inlineStr">
        <is>
          <t>Yes</t>
        </is>
      </c>
      <c r="K167" s="16" t="n"/>
    </row>
    <row r="168" ht="15" customHeight="1" s="13">
      <c r="A168" s="16" t="inlineStr">
        <is>
          <t>7243/0459</t>
        </is>
      </c>
      <c r="B168" s="16" t="inlineStr">
        <is>
          <t>Cover MTA uni/maxi fuse module</t>
        </is>
      </c>
      <c r="C168" s="16" t="inlineStr">
        <is>
          <t>Lab Consumables</t>
        </is>
      </c>
      <c r="D168" s="16" t="inlineStr">
        <is>
          <t>Fuse</t>
        </is>
      </c>
      <c r="E168" s="16" t="inlineStr">
        <is>
          <t>NO</t>
        </is>
      </c>
      <c r="F168" s="16" t="inlineStr">
        <is>
          <t>BIN -4-01</t>
        </is>
      </c>
      <c r="G168" s="16" t="inlineStr">
        <is>
          <t>MOTHERSON SUMI WIRING INDIA ( M274</t>
        </is>
      </c>
      <c r="H168" s="16" t="n">
        <v>259.72</v>
      </c>
      <c r="I168" s="16" t="n">
        <v>15</v>
      </c>
      <c r="J168" s="16" t="inlineStr">
        <is>
          <t>Yes</t>
        </is>
      </c>
      <c r="K168" s="16" t="n"/>
    </row>
    <row r="169" ht="15" customHeight="1" s="13">
      <c r="A169" s="16" t="inlineStr">
        <is>
          <t>7243/0427</t>
        </is>
      </c>
      <c r="B169" s="16" t="inlineStr">
        <is>
          <t>Secondary lock MTA 36W fusebox</t>
        </is>
      </c>
      <c r="C169" s="16" t="inlineStr">
        <is>
          <t>Lab Consumables</t>
        </is>
      </c>
      <c r="D169" s="16" t="inlineStr">
        <is>
          <t>Fuse</t>
        </is>
      </c>
      <c r="E169" s="16" t="inlineStr">
        <is>
          <t>NO</t>
        </is>
      </c>
      <c r="F169" s="16" t="n"/>
      <c r="G169" s="16" t="inlineStr">
        <is>
          <t>MOTHERSON SUMI WIRING INDIA ( M274</t>
        </is>
      </c>
      <c r="H169" s="16" t="n">
        <v>61.11</v>
      </c>
      <c r="I169" s="16" t="n">
        <v>15</v>
      </c>
      <c r="J169" s="16" t="inlineStr">
        <is>
          <t>Yes</t>
        </is>
      </c>
      <c r="K169" s="16" t="n"/>
    </row>
    <row r="170" ht="15" customHeight="1" s="13">
      <c r="A170" s="16" t="inlineStr">
        <is>
          <t>7201/0784</t>
        </is>
      </c>
      <c r="B170" s="16" t="inlineStr">
        <is>
          <t>2.0 - 3.0 MM2 F630E FEM T</t>
        </is>
      </c>
      <c r="C170" s="16" t="inlineStr">
        <is>
          <t>Lab Consumables</t>
        </is>
      </c>
      <c r="D170" s="16" t="inlineStr">
        <is>
          <t>WH Misc</t>
        </is>
      </c>
      <c r="E170" s="16" t="inlineStr">
        <is>
          <t>NO</t>
        </is>
      </c>
      <c r="F170" s="16" t="inlineStr">
        <is>
          <t>L-5</t>
        </is>
      </c>
      <c r="G170" s="16" t="inlineStr">
        <is>
          <t>MOTHERSON SUMI WIRING INDIA ( M274</t>
        </is>
      </c>
      <c r="H170" s="16" t="n">
        <v>10.69</v>
      </c>
      <c r="I170" s="16" t="n">
        <v>84</v>
      </c>
      <c r="J170" s="16" t="inlineStr">
        <is>
          <t>Yes</t>
        </is>
      </c>
      <c r="K170" s="16" t="n"/>
    </row>
    <row r="171" ht="15" customHeight="1" s="13">
      <c r="A171" s="16" t="inlineStr">
        <is>
          <t>7201/0785</t>
        </is>
      </c>
      <c r="B171" s="16" t="inlineStr">
        <is>
          <t>4.0-6.0MM2 F630E RELAY TE</t>
        </is>
      </c>
      <c r="C171" s="16" t="inlineStr">
        <is>
          <t>Lab Consumables</t>
        </is>
      </c>
      <c r="D171" s="16" t="inlineStr">
        <is>
          <t>Relay</t>
        </is>
      </c>
      <c r="E171" s="16" t="inlineStr">
        <is>
          <t>NO</t>
        </is>
      </c>
      <c r="F171" s="16" t="inlineStr">
        <is>
          <t>L-5</t>
        </is>
      </c>
      <c r="G171" s="16" t="inlineStr">
        <is>
          <t>MOTHERSON SUMI WIRING INDIA ( M274</t>
        </is>
      </c>
      <c r="H171" s="16" t="n">
        <v>10.69</v>
      </c>
      <c r="I171" s="16" t="n">
        <v>42</v>
      </c>
      <c r="J171" s="16" t="inlineStr">
        <is>
          <t>Yes</t>
        </is>
      </c>
      <c r="K171" s="16" t="n"/>
    </row>
    <row r="172" ht="15" customHeight="1" s="13">
      <c r="A172" s="16" t="inlineStr">
        <is>
          <t>7201/0783</t>
        </is>
      </c>
      <c r="B172" s="16" t="inlineStr">
        <is>
          <t>0.75-1.5MM2 F630E FEM TER</t>
        </is>
      </c>
      <c r="C172" s="16" t="inlineStr">
        <is>
          <t>Lab Consumables</t>
        </is>
      </c>
      <c r="D172" s="16" t="inlineStr">
        <is>
          <t>WH Misc</t>
        </is>
      </c>
      <c r="E172" s="16" t="inlineStr">
        <is>
          <t>NO</t>
        </is>
      </c>
      <c r="F172" s="16" t="inlineStr">
        <is>
          <t>L-6</t>
        </is>
      </c>
      <c r="G172" s="16" t="inlineStr">
        <is>
          <t>MOTHERSON SUMI WIRING INDIA ( M274</t>
        </is>
      </c>
      <c r="H172" s="16" t="n">
        <v>11.54</v>
      </c>
      <c r="I172" s="16" t="n">
        <v>63</v>
      </c>
      <c r="J172" s="16" t="inlineStr">
        <is>
          <t>Yes</t>
        </is>
      </c>
      <c r="K172" s="16" t="n"/>
    </row>
    <row r="173" ht="15" customHeight="1" s="13">
      <c r="A173" s="16" t="inlineStr">
        <is>
          <t>7201/0782</t>
        </is>
      </c>
      <c r="B173" s="16" t="inlineStr">
        <is>
          <t>0.35-0.5MM2 F630E RELAY T</t>
        </is>
      </c>
      <c r="C173" s="16" t="inlineStr">
        <is>
          <t>Lab Consumables</t>
        </is>
      </c>
      <c r="D173" s="16" t="inlineStr">
        <is>
          <t>Relay</t>
        </is>
      </c>
      <c r="E173" s="16" t="inlineStr">
        <is>
          <t>NO</t>
        </is>
      </c>
      <c r="F173" s="16" t="inlineStr">
        <is>
          <t>L-5</t>
        </is>
      </c>
      <c r="G173" s="16" t="inlineStr">
        <is>
          <t>MOTHERSON SUMI WIRING INDIA ( M274</t>
        </is>
      </c>
      <c r="H173" s="16" t="n">
        <v>18.33</v>
      </c>
      <c r="I173" s="16" t="n">
        <v>5</v>
      </c>
      <c r="J173" s="16" t="inlineStr">
        <is>
          <t>Yes</t>
        </is>
      </c>
      <c r="K173" s="16" t="n"/>
    </row>
    <row r="174" ht="15" customHeight="1" s="13">
      <c r="A174" s="16" t="inlineStr">
        <is>
          <t>7201/0781</t>
        </is>
      </c>
      <c r="B174" s="16" t="inlineStr">
        <is>
          <t>1.5-2.5mm2 F480E Relay Term</t>
        </is>
      </c>
      <c r="C174" s="16" t="inlineStr">
        <is>
          <t>Lab Consumables</t>
        </is>
      </c>
      <c r="D174" s="16" t="inlineStr">
        <is>
          <t>Relay</t>
        </is>
      </c>
      <c r="E174" s="16" t="inlineStr">
        <is>
          <t>NO</t>
        </is>
      </c>
      <c r="F174" s="16" t="inlineStr">
        <is>
          <t>L-5</t>
        </is>
      </c>
      <c r="G174" s="16" t="inlineStr">
        <is>
          <t>MOTHERSON SUMI WIRING INDIA ( M274</t>
        </is>
      </c>
      <c r="H174" s="16" t="n">
        <v>10.69</v>
      </c>
      <c r="I174" s="16" t="n">
        <v>45</v>
      </c>
      <c r="J174" s="16" t="inlineStr">
        <is>
          <t>Yes</t>
        </is>
      </c>
      <c r="K174" s="16" t="n"/>
    </row>
    <row r="175" ht="15" customHeight="1" s="13">
      <c r="A175" s="16" t="inlineStr">
        <is>
          <t>7201/0780</t>
        </is>
      </c>
      <c r="B175" s="16" t="inlineStr">
        <is>
          <t>0.35-1.0mm2 F480E Relay Term</t>
        </is>
      </c>
      <c r="C175" s="16" t="inlineStr">
        <is>
          <t>Lab Consumables</t>
        </is>
      </c>
      <c r="D175" s="16" t="inlineStr">
        <is>
          <t>Relay</t>
        </is>
      </c>
      <c r="E175" s="16" t="inlineStr">
        <is>
          <t>NO</t>
        </is>
      </c>
      <c r="F175" s="16" t="inlineStr">
        <is>
          <t>L-5</t>
        </is>
      </c>
      <c r="G175" s="16" t="inlineStr">
        <is>
          <t>MOTHERSON SUMI WIRING INDIA ( M274</t>
        </is>
      </c>
      <c r="H175" s="16" t="n">
        <v>10.69</v>
      </c>
      <c r="I175" s="16" t="n">
        <v>120</v>
      </c>
      <c r="J175" s="16" t="inlineStr">
        <is>
          <t>Yes</t>
        </is>
      </c>
      <c r="K175" s="16" t="n"/>
    </row>
    <row r="176" ht="15" customHeight="1" s="13">
      <c r="A176" s="16" t="inlineStr">
        <is>
          <t>7201/0777</t>
        </is>
      </c>
      <c r="B176" s="16" t="inlineStr">
        <is>
          <t>2.5-4.0MM2 MINI F280 FEM</t>
        </is>
      </c>
      <c r="C176" s="16" t="inlineStr">
        <is>
          <t>Lab Consumables</t>
        </is>
      </c>
      <c r="D176" s="16" t="inlineStr">
        <is>
          <t>WH Misc</t>
        </is>
      </c>
      <c r="E176" s="16" t="inlineStr">
        <is>
          <t>NO</t>
        </is>
      </c>
      <c r="F176" s="16" t="inlineStr">
        <is>
          <t>L-5</t>
        </is>
      </c>
      <c r="G176" s="16" t="inlineStr">
        <is>
          <t>MOTHERSON SUMI WIRING INDIA ( M274</t>
        </is>
      </c>
      <c r="H176" s="16" t="n">
        <v>7.64</v>
      </c>
      <c r="I176" s="16" t="n">
        <v>63</v>
      </c>
      <c r="J176" s="16" t="inlineStr">
        <is>
          <t>Yes</t>
        </is>
      </c>
      <c r="K176" s="16" t="n"/>
    </row>
    <row r="177" ht="15" customHeight="1" s="13">
      <c r="A177" s="16" t="inlineStr">
        <is>
          <t>7201/0776</t>
        </is>
      </c>
      <c r="B177" s="16" t="inlineStr">
        <is>
          <t>1.0-2.0MM2 MINI F280 FUSE</t>
        </is>
      </c>
      <c r="C177" s="16" t="inlineStr">
        <is>
          <t>Lab Consumables</t>
        </is>
      </c>
      <c r="D177" s="16" t="inlineStr">
        <is>
          <t>Fuse</t>
        </is>
      </c>
      <c r="E177" s="16" t="inlineStr">
        <is>
          <t>NO</t>
        </is>
      </c>
      <c r="F177" s="16" t="inlineStr">
        <is>
          <t>L-5</t>
        </is>
      </c>
      <c r="G177" s="16" t="inlineStr">
        <is>
          <t>MOTHERSON SUMI WIRING INDIA ( M274</t>
        </is>
      </c>
      <c r="H177" s="16" t="n">
        <v>7.64</v>
      </c>
      <c r="I177" s="16" t="n">
        <v>273</v>
      </c>
      <c r="J177" s="16" t="inlineStr">
        <is>
          <t>Yes</t>
        </is>
      </c>
      <c r="K177" s="16" t="n"/>
    </row>
    <row r="178" ht="15" customHeight="1" s="13">
      <c r="A178" s="16" t="inlineStr">
        <is>
          <t>7201/0610</t>
        </is>
      </c>
      <c r="B178" s="16" t="inlineStr">
        <is>
          <t>9.5 Fem Fastin Faston 4.0-6.0</t>
        </is>
      </c>
      <c r="C178" s="16" t="inlineStr">
        <is>
          <t>Lab Consumables</t>
        </is>
      </c>
      <c r="D178" s="16" t="inlineStr">
        <is>
          <t>WH Misc</t>
        </is>
      </c>
      <c r="E178" s="16" t="inlineStr">
        <is>
          <t>NO</t>
        </is>
      </c>
      <c r="F178" s="16" t="inlineStr">
        <is>
          <t>L-5</t>
        </is>
      </c>
      <c r="G178" s="16" t="inlineStr">
        <is>
          <t>TE CONNECTIVITY</t>
        </is>
      </c>
      <c r="H178" s="16" t="n">
        <v>10.6</v>
      </c>
      <c r="I178" s="16" t="n">
        <v>100</v>
      </c>
      <c r="J178" s="16" t="inlineStr">
        <is>
          <t>Yes</t>
        </is>
      </c>
      <c r="K178" s="16" t="n"/>
    </row>
    <row r="179" ht="15" customHeight="1" s="13">
      <c r="A179" s="16" t="inlineStr">
        <is>
          <t>7212/0003</t>
        </is>
      </c>
      <c r="B179" s="16" t="inlineStr">
        <is>
          <t>2 Way HW090 Socket Retainer</t>
        </is>
      </c>
      <c r="C179" s="16" t="inlineStr">
        <is>
          <t>Lab Consumables</t>
        </is>
      </c>
      <c r="D179" s="16" t="inlineStr">
        <is>
          <t>WH Misc</t>
        </is>
      </c>
      <c r="E179" s="16" t="inlineStr">
        <is>
          <t>NO</t>
        </is>
      </c>
      <c r="F179" s="16" t="inlineStr">
        <is>
          <t>L-1</t>
        </is>
      </c>
      <c r="G179" s="16" t="inlineStr">
        <is>
          <t>MOTHERSON SUMI WIRING INDIA ( M274</t>
        </is>
      </c>
      <c r="H179" s="16" t="n">
        <v>5.17</v>
      </c>
      <c r="I179" s="16" t="n">
        <v>300</v>
      </c>
      <c r="J179" s="16" t="inlineStr">
        <is>
          <t>Yes</t>
        </is>
      </c>
      <c r="K179" s="16" t="n"/>
    </row>
    <row r="180" ht="15" customHeight="1" s="13">
      <c r="A180" s="16" t="inlineStr">
        <is>
          <t>332/E9928</t>
        </is>
      </c>
      <c r="B180" s="16" t="inlineStr">
        <is>
          <t>2 WAY DL305 MALE HSG -Rev.Lel.-01</t>
        </is>
      </c>
      <c r="C180" s="16" t="inlineStr">
        <is>
          <t>Lab Consumables</t>
        </is>
      </c>
      <c r="D180" s="16" t="inlineStr">
        <is>
          <t>WH Misc</t>
        </is>
      </c>
      <c r="E180" s="16" t="inlineStr">
        <is>
          <t>NO</t>
        </is>
      </c>
      <c r="F180" s="16" t="inlineStr">
        <is>
          <t>L-4</t>
        </is>
      </c>
      <c r="G180" s="16" t="inlineStr">
        <is>
          <t>MOTHERSON SUMI WIRING INDIA ( M274</t>
        </is>
      </c>
      <c r="H180" s="16" t="n">
        <v>18.86</v>
      </c>
      <c r="I180" s="16" t="n">
        <v>10</v>
      </c>
      <c r="J180" s="16" t="inlineStr">
        <is>
          <t>Yes</t>
        </is>
      </c>
      <c r="K180" s="16" t="n"/>
    </row>
    <row r="181" ht="15" customHeight="1" s="13">
      <c r="A181" s="16" t="inlineStr">
        <is>
          <t>7219/0005</t>
        </is>
      </c>
      <c r="B181" s="16" t="inlineStr">
        <is>
          <t>14 WAY HW090SOCKET HOUSING</t>
        </is>
      </c>
      <c r="C181" s="16" t="inlineStr">
        <is>
          <t>Lab Consumables</t>
        </is>
      </c>
      <c r="D181" s="16" t="inlineStr">
        <is>
          <t>WH Misc</t>
        </is>
      </c>
      <c r="E181" s="16" t="inlineStr">
        <is>
          <t>NO</t>
        </is>
      </c>
      <c r="F181" s="16" t="inlineStr">
        <is>
          <t>L-4</t>
        </is>
      </c>
      <c r="G181" s="16" t="inlineStr">
        <is>
          <t>MOTHERSON SUMI WIRING INDIA ( M274</t>
        </is>
      </c>
      <c r="H181" s="16" t="n">
        <v>28.16</v>
      </c>
      <c r="I181" s="16" t="n">
        <v>25</v>
      </c>
      <c r="J181" s="16" t="inlineStr">
        <is>
          <t>Yes</t>
        </is>
      </c>
      <c r="K181" s="16" t="n"/>
    </row>
    <row r="182" ht="15" customHeight="1" s="13">
      <c r="A182" s="16" t="inlineStr">
        <is>
          <t>7218/0004</t>
        </is>
      </c>
      <c r="B182" s="16" t="inlineStr">
        <is>
          <t>8 Way HW090 Pin Retainer</t>
        </is>
      </c>
      <c r="C182" s="16" t="inlineStr">
        <is>
          <t>Lab Consumables</t>
        </is>
      </c>
      <c r="D182" s="16" t="inlineStr">
        <is>
          <t>WH Misc</t>
        </is>
      </c>
      <c r="E182" s="16" t="inlineStr">
        <is>
          <t>NO</t>
        </is>
      </c>
      <c r="F182" s="16" t="inlineStr">
        <is>
          <t>L-2</t>
        </is>
      </c>
      <c r="G182" s="16" t="inlineStr">
        <is>
          <t>MOTHERSON SUMI WIRING INDIA ( M274</t>
        </is>
      </c>
      <c r="H182" s="16" t="n">
        <v>4.72</v>
      </c>
      <c r="I182" s="16" t="n">
        <v>16</v>
      </c>
      <c r="J182" s="16" t="inlineStr">
        <is>
          <t>Yes</t>
        </is>
      </c>
      <c r="K182" s="16" t="n"/>
    </row>
    <row r="183" ht="15" customHeight="1" s="13">
      <c r="A183" s="16" t="inlineStr">
        <is>
          <t>7210/0129</t>
        </is>
      </c>
      <c r="B183" s="16" t="inlineStr">
        <is>
          <t>WIRE SEAL TS187 2.0-2.9 DK GREEN</t>
        </is>
      </c>
      <c r="C183" s="16" t="inlineStr">
        <is>
          <t>Lab Consumables</t>
        </is>
      </c>
      <c r="D183" s="16" t="inlineStr">
        <is>
          <t>Wire Seal</t>
        </is>
      </c>
      <c r="E183" s="16" t="inlineStr">
        <is>
          <t>NO</t>
        </is>
      </c>
      <c r="F183" s="16" t="inlineStr">
        <is>
          <t>seal box</t>
        </is>
      </c>
      <c r="G183" s="16" t="inlineStr">
        <is>
          <t>MOTHERSON SUMI WIRING INDIA ( M274</t>
        </is>
      </c>
      <c r="H183" s="16" t="n">
        <v>4.15</v>
      </c>
      <c r="I183" s="16" t="n">
        <v>10</v>
      </c>
      <c r="J183" s="16" t="inlineStr">
        <is>
          <t>Yes</t>
        </is>
      </c>
      <c r="K183" s="16" t="n"/>
    </row>
    <row r="184" ht="15" customHeight="1" s="13">
      <c r="A184" s="16" t="inlineStr">
        <is>
          <t>7210/0003</t>
        </is>
      </c>
      <c r="B184" s="16" t="inlineStr">
        <is>
          <t>WIRESEAL</t>
        </is>
      </c>
      <c r="C184" s="16" t="inlineStr">
        <is>
          <t>Lab Consumables</t>
        </is>
      </c>
      <c r="D184" s="16" t="inlineStr">
        <is>
          <t>Wire Seal</t>
        </is>
      </c>
      <c r="E184" s="16" t="inlineStr">
        <is>
          <t>NO</t>
        </is>
      </c>
      <c r="F184" s="16" t="inlineStr">
        <is>
          <t>BIN -6-02</t>
        </is>
      </c>
      <c r="G184" s="16" t="inlineStr">
        <is>
          <t>MOTHERSON SUMI WIRING INDIA ( M274</t>
        </is>
      </c>
      <c r="H184" s="16" t="n">
        <v>2.49</v>
      </c>
      <c r="I184" s="16" t="n">
        <v>40</v>
      </c>
      <c r="J184" s="16" t="inlineStr">
        <is>
          <t>Yes</t>
        </is>
      </c>
      <c r="K184" s="16" t="n"/>
    </row>
    <row r="185" ht="15" customHeight="1" s="13">
      <c r="A185" s="16" t="inlineStr">
        <is>
          <t>7204/0089</t>
        </is>
      </c>
      <c r="B185" s="16" t="inlineStr">
        <is>
          <t>5.08.0 TS312 MALE TERM</t>
        </is>
      </c>
      <c r="C185" s="16" t="inlineStr">
        <is>
          <t>Lab Consumables</t>
        </is>
      </c>
      <c r="D185" s="16" t="inlineStr">
        <is>
          <t>WH Misc</t>
        </is>
      </c>
      <c r="E185" s="16" t="inlineStr">
        <is>
          <t>NO</t>
        </is>
      </c>
      <c r="F185" s="16" t="inlineStr">
        <is>
          <t>L-10</t>
        </is>
      </c>
      <c r="G185" s="16" t="inlineStr">
        <is>
          <t>MOTHERSON SUMI WIRING INDIA ( M274</t>
        </is>
      </c>
      <c r="H185" s="16" t="n">
        <v>3.9</v>
      </c>
      <c r="I185" s="16" t="n">
        <v>10</v>
      </c>
      <c r="J185" s="16" t="inlineStr">
        <is>
          <t>Yes</t>
        </is>
      </c>
      <c r="K185" s="16" t="n"/>
    </row>
    <row r="186" ht="15" customHeight="1" s="13">
      <c r="A186" s="16" t="inlineStr">
        <is>
          <t>7204/0088</t>
        </is>
      </c>
      <c r="B186" s="16" t="inlineStr">
        <is>
          <t>2.0-4.0 SQ.MM TS PIN TERM</t>
        </is>
      </c>
      <c r="C186" s="16" t="inlineStr">
        <is>
          <t>Lab Consumables</t>
        </is>
      </c>
      <c r="D186" s="16" t="inlineStr">
        <is>
          <t>WH Misc</t>
        </is>
      </c>
      <c r="E186" s="16" t="inlineStr">
        <is>
          <t>NO</t>
        </is>
      </c>
      <c r="F186" s="16" t="inlineStr">
        <is>
          <t>L-8</t>
        </is>
      </c>
      <c r="G186" s="16" t="inlineStr">
        <is>
          <t>MOTHERSON SUMI WIRING INDIA ( M274</t>
        </is>
      </c>
      <c r="H186" s="16" t="n">
        <v>3.04</v>
      </c>
      <c r="I186" s="16" t="n">
        <v>10</v>
      </c>
      <c r="J186" s="16" t="inlineStr">
        <is>
          <t>Yes</t>
        </is>
      </c>
      <c r="K186" s="16" t="n"/>
    </row>
    <row r="187" ht="15" customHeight="1" s="13">
      <c r="A187" s="16" t="inlineStr">
        <is>
          <t>7204/0002</t>
        </is>
      </c>
      <c r="B187" s="16" t="inlineStr">
        <is>
          <t>MALE TERMINAL</t>
        </is>
      </c>
      <c r="C187" s="16" t="inlineStr">
        <is>
          <t>Lab Consumables</t>
        </is>
      </c>
      <c r="D187" s="16" t="inlineStr">
        <is>
          <t>Terminal</t>
        </is>
      </c>
      <c r="E187" s="16" t="inlineStr">
        <is>
          <t>NO</t>
        </is>
      </c>
      <c r="F187" s="16" t="inlineStr">
        <is>
          <t>L-8</t>
        </is>
      </c>
      <c r="G187" s="16" t="inlineStr">
        <is>
          <t>MOTHERSON SUMI WIRING INDIA ( M274</t>
        </is>
      </c>
      <c r="H187" s="16" t="n">
        <v>3.16</v>
      </c>
      <c r="I187" s="16" t="n">
        <v>60</v>
      </c>
      <c r="J187" s="16" t="inlineStr">
        <is>
          <t>Yes</t>
        </is>
      </c>
      <c r="K187" s="16" t="n"/>
    </row>
    <row r="188" ht="15" customHeight="1" s="13">
      <c r="A188" s="16" t="inlineStr">
        <is>
          <t>7204/0001</t>
        </is>
      </c>
      <c r="B188" s="16" t="inlineStr">
        <is>
          <t>CRIMP TERMINAL</t>
        </is>
      </c>
      <c r="C188" s="16" t="inlineStr">
        <is>
          <t>Lab Consumables</t>
        </is>
      </c>
      <c r="D188" s="16" t="inlineStr">
        <is>
          <t>Terminal</t>
        </is>
      </c>
      <c r="E188" s="16" t="inlineStr">
        <is>
          <t>NO</t>
        </is>
      </c>
      <c r="F188" s="16" t="inlineStr">
        <is>
          <t>BIN -7-3</t>
        </is>
      </c>
      <c r="G188" s="16" t="inlineStr">
        <is>
          <t>TE CONNECTIVITY</t>
        </is>
      </c>
      <c r="H188" s="16" t="n">
        <v>2.1</v>
      </c>
      <c r="I188" s="16" t="n">
        <v>200</v>
      </c>
      <c r="J188" s="16" t="inlineStr">
        <is>
          <t>Yes</t>
        </is>
      </c>
      <c r="K188" s="16" t="n"/>
    </row>
    <row r="189" ht="15" customHeight="1" s="13">
      <c r="A189" s="16" t="inlineStr">
        <is>
          <t>7201/1025</t>
        </is>
      </c>
      <c r="B189" s="16" t="inlineStr">
        <is>
          <t>0.501.25mm2 MTW SKT TERM</t>
        </is>
      </c>
      <c r="C189" s="16" t="inlineStr">
        <is>
          <t>Lab Consumables</t>
        </is>
      </c>
      <c r="D189" s="16" t="inlineStr">
        <is>
          <t>WH Misc</t>
        </is>
      </c>
      <c r="E189" s="16" t="inlineStr">
        <is>
          <t>NO</t>
        </is>
      </c>
      <c r="F189" s="16" t="inlineStr">
        <is>
          <t>L-7</t>
        </is>
      </c>
      <c r="G189" s="16" t="inlineStr">
        <is>
          <t>MOTHERSON SUMI WIRING INDIA ( M274</t>
        </is>
      </c>
      <c r="H189" s="16" t="n">
        <v>2.05</v>
      </c>
      <c r="I189" s="16" t="n">
        <v>10</v>
      </c>
      <c r="J189" s="16" t="inlineStr">
        <is>
          <t>Yes</t>
        </is>
      </c>
      <c r="K189" s="16" t="n"/>
    </row>
    <row r="190" ht="15" customHeight="1" s="13">
      <c r="A190" s="16" t="inlineStr">
        <is>
          <t>7201/0683</t>
        </is>
      </c>
      <c r="B190" s="16" t="inlineStr">
        <is>
          <t>250 SRS Female terminal - 15000080</t>
        </is>
      </c>
      <c r="C190" s="16" t="inlineStr">
        <is>
          <t>Lab Consumables</t>
        </is>
      </c>
      <c r="D190" s="16" t="inlineStr">
        <is>
          <t>Terminal</t>
        </is>
      </c>
      <c r="E190" s="16" t="inlineStr">
        <is>
          <t>NO</t>
        </is>
      </c>
      <c r="F190" s="16" t="inlineStr">
        <is>
          <t>L-5</t>
        </is>
      </c>
      <c r="G190" s="16" t="inlineStr">
        <is>
          <t>MOTHERSON SUMI WIRING INDIA ( M274</t>
        </is>
      </c>
      <c r="H190" s="16" t="n">
        <v>4</v>
      </c>
      <c r="I190" s="16" t="n">
        <v>30</v>
      </c>
      <c r="J190" s="16" t="inlineStr">
        <is>
          <t>Yes</t>
        </is>
      </c>
      <c r="K190" s="16" t="n"/>
    </row>
    <row r="191" ht="15" customHeight="1" s="13">
      <c r="A191" s="16" t="inlineStr">
        <is>
          <t>7201/0002</t>
        </is>
      </c>
      <c r="B191" s="16" t="inlineStr">
        <is>
          <t>1.50-2.00mm² Socket Terminal HW090</t>
        </is>
      </c>
      <c r="C191" s="16" t="inlineStr">
        <is>
          <t>Lab Consumables</t>
        </is>
      </c>
      <c r="D191" s="16" t="inlineStr">
        <is>
          <t>Terminal</t>
        </is>
      </c>
      <c r="E191" s="16" t="inlineStr">
        <is>
          <t>NO</t>
        </is>
      </c>
      <c r="F191" s="16" t="inlineStr">
        <is>
          <t>L-7</t>
        </is>
      </c>
      <c r="G191" s="16" t="inlineStr">
        <is>
          <t>MOTHERSON SUMI WIRING INDIA ( M274</t>
        </is>
      </c>
      <c r="H191" s="16" t="n">
        <v>3.62</v>
      </c>
      <c r="I191" s="16" t="n">
        <v>150</v>
      </c>
      <c r="J191" s="16" t="inlineStr">
        <is>
          <t>Yes</t>
        </is>
      </c>
      <c r="K191" s="16" t="n"/>
    </row>
    <row r="192" ht="15" customHeight="1" s="13">
      <c r="A192" s="16" t="inlineStr">
        <is>
          <t>7201/0001</t>
        </is>
      </c>
      <c r="B192" s="16" t="inlineStr">
        <is>
          <t>0.30-1.25mm² Socket Terminal HW090</t>
        </is>
      </c>
      <c r="C192" s="16" t="inlineStr">
        <is>
          <t>Lab Consumables</t>
        </is>
      </c>
      <c r="D192" s="16" t="inlineStr">
        <is>
          <t>Terminal</t>
        </is>
      </c>
      <c r="E192" s="16" t="inlineStr">
        <is>
          <t>NO</t>
        </is>
      </c>
      <c r="F192" s="16" t="inlineStr">
        <is>
          <t>L-10</t>
        </is>
      </c>
      <c r="G192" s="16" t="inlineStr">
        <is>
          <t>MOTHERSON SUMI WIRING INDIA ( M274</t>
        </is>
      </c>
      <c r="H192" s="16" t="n">
        <v>1.55</v>
      </c>
      <c r="I192" s="16" t="n">
        <v>600</v>
      </c>
      <c r="J192" s="16" t="inlineStr">
        <is>
          <t>Yes</t>
        </is>
      </c>
      <c r="K192" s="16" t="n"/>
    </row>
    <row r="193" ht="15" customHeight="1" s="13">
      <c r="A193" s="16" t="inlineStr">
        <is>
          <t>7212/0207</t>
        </is>
      </c>
      <c r="B193" s="16" t="inlineStr">
        <is>
          <t>2 WAY MTW 2.8MM SKT HSG</t>
        </is>
      </c>
      <c r="C193" s="16" t="inlineStr">
        <is>
          <t>Lab Consumables</t>
        </is>
      </c>
      <c r="D193" s="16" t="inlineStr">
        <is>
          <t>WH Misc</t>
        </is>
      </c>
      <c r="E193" s="16" t="inlineStr">
        <is>
          <t>NO</t>
        </is>
      </c>
      <c r="F193" s="16" t="inlineStr">
        <is>
          <t>L-4</t>
        </is>
      </c>
      <c r="G193" s="16" t="inlineStr">
        <is>
          <t>MOTHERSON SUMI WIRING INDIA ( M274</t>
        </is>
      </c>
      <c r="H193" s="16" t="n">
        <v>1.2</v>
      </c>
      <c r="I193" s="16" t="n">
        <v>5</v>
      </c>
      <c r="J193" s="16" t="inlineStr">
        <is>
          <t>Yes</t>
        </is>
      </c>
      <c r="K193" s="16" t="n"/>
    </row>
    <row r="194" ht="15" customHeight="1" s="13">
      <c r="A194" s="16" t="inlineStr">
        <is>
          <t>7216/0051</t>
        </is>
      </c>
      <c r="B194" s="16" t="inlineStr">
        <is>
          <t>6 WAY MT090 FEM HSG NATURAL -Rev.Lel.-01</t>
        </is>
      </c>
      <c r="C194" s="16" t="inlineStr">
        <is>
          <t>Lab Consumables</t>
        </is>
      </c>
      <c r="D194" s="16" t="inlineStr">
        <is>
          <t>WH Misc</t>
        </is>
      </c>
      <c r="E194" s="16" t="inlineStr">
        <is>
          <t>NO</t>
        </is>
      </c>
      <c r="F194" s="16" t="inlineStr">
        <is>
          <t>L-18</t>
        </is>
      </c>
      <c r="G194" s="16" t="inlineStr">
        <is>
          <t>MOTHERSON SUMI WIRING INDIA ( M274</t>
        </is>
      </c>
      <c r="H194" s="16" t="n">
        <v>9.380000000000001</v>
      </c>
      <c r="I194" s="16" t="n">
        <v>20</v>
      </c>
      <c r="J194" s="16" t="inlineStr">
        <is>
          <t>Yes</t>
        </is>
      </c>
      <c r="K194" s="16" t="n"/>
    </row>
    <row r="195" ht="15" customHeight="1" s="13">
      <c r="A195" s="16" t="inlineStr">
        <is>
          <t>7213/0058</t>
        </is>
      </c>
      <c r="B195" s="16" t="inlineStr">
        <is>
          <t>3 WAY MALE SEALED HOUSING</t>
        </is>
      </c>
      <c r="C195" s="16" t="inlineStr">
        <is>
          <t>Lab Consumables</t>
        </is>
      </c>
      <c r="D195" s="16" t="inlineStr">
        <is>
          <t>Wire Seal</t>
        </is>
      </c>
      <c r="E195" s="16" t="inlineStr">
        <is>
          <t>NO</t>
        </is>
      </c>
      <c r="F195" s="16" t="n"/>
      <c r="G195" s="16" t="inlineStr">
        <is>
          <t>MOTHERSON SUMI WIRING INDIA ( M274</t>
        </is>
      </c>
      <c r="H195" s="16" t="n">
        <v>39.35</v>
      </c>
      <c r="I195" s="16" t="n">
        <v>5</v>
      </c>
      <c r="J195" s="16" t="inlineStr">
        <is>
          <t>Yes</t>
        </is>
      </c>
      <c r="K195" s="16" t="n"/>
    </row>
    <row r="196" ht="15" customHeight="1" s="13">
      <c r="A196" s="16" t="inlineStr">
        <is>
          <t>7218/0002</t>
        </is>
      </c>
      <c r="B196" s="16" t="inlineStr">
        <is>
          <t>8 WAY HW090 PIN HOUSING</t>
        </is>
      </c>
      <c r="C196" s="16" t="inlineStr">
        <is>
          <t>Lab Consumables</t>
        </is>
      </c>
      <c r="D196" s="16" t="inlineStr">
        <is>
          <t>WH Misc</t>
        </is>
      </c>
      <c r="E196" s="16" t="inlineStr">
        <is>
          <t>NO</t>
        </is>
      </c>
      <c r="F196" s="16" t="inlineStr">
        <is>
          <t>L-3</t>
        </is>
      </c>
      <c r="G196" s="16" t="inlineStr">
        <is>
          <t>MOTHERSON SUMI WIRING INDIA ( M274</t>
        </is>
      </c>
      <c r="H196" s="16" t="n">
        <v>35.75</v>
      </c>
      <c r="I196" s="16" t="n">
        <v>5</v>
      </c>
      <c r="J196" s="16" t="inlineStr">
        <is>
          <t>Yes</t>
        </is>
      </c>
      <c r="K196" s="16" t="n"/>
    </row>
    <row r="197" ht="15" customHeight="1" s="13">
      <c r="A197" s="16" t="inlineStr">
        <is>
          <t>7250/0150</t>
        </is>
      </c>
      <c r="B197" s="16" t="inlineStr">
        <is>
          <t>CONNECTOR - 60702481</t>
        </is>
      </c>
      <c r="C197" s="16" t="inlineStr">
        <is>
          <t>Lab Consumables</t>
        </is>
      </c>
      <c r="D197" s="16" t="inlineStr">
        <is>
          <t>Connector</t>
        </is>
      </c>
      <c r="E197" s="16" t="inlineStr">
        <is>
          <t>NO</t>
        </is>
      </c>
      <c r="F197" s="16" t="inlineStr">
        <is>
          <t>BIN-7-01</t>
        </is>
      </c>
      <c r="G197" s="16" t="inlineStr">
        <is>
          <t>MOTHERSON SUMI WIRING INDIA ( M274</t>
        </is>
      </c>
      <c r="H197" s="16" t="n">
        <v>3.96</v>
      </c>
      <c r="I197" s="16" t="n">
        <v>30</v>
      </c>
      <c r="J197" s="16" t="inlineStr">
        <is>
          <t>Yes</t>
        </is>
      </c>
      <c r="K197" s="16" t="n"/>
    </row>
    <row r="198" ht="15" customHeight="1" s="13">
      <c r="A198" s="16" t="inlineStr">
        <is>
          <t>7201/0687</t>
        </is>
      </c>
      <c r="B198" s="16" t="inlineStr">
        <is>
          <t>0.50 - 1.50 ALDC FEM</t>
        </is>
      </c>
      <c r="C198" s="16" t="inlineStr">
        <is>
          <t>Lab Consumables</t>
        </is>
      </c>
      <c r="D198" s="16" t="inlineStr">
        <is>
          <t>WH Misc</t>
        </is>
      </c>
      <c r="E198" s="16" t="inlineStr">
        <is>
          <t>NO</t>
        </is>
      </c>
      <c r="F198" s="16" t="n"/>
      <c r="G198" s="16" t="inlineStr">
        <is>
          <t>MOTHERSON SUMI WIRING INDIA ( M274</t>
        </is>
      </c>
      <c r="H198" s="16" t="n">
        <v>1.69</v>
      </c>
      <c r="I198" s="16" t="n">
        <v>10</v>
      </c>
      <c r="J198" s="16" t="inlineStr">
        <is>
          <t>Yes</t>
        </is>
      </c>
      <c r="K198" s="16" t="n"/>
    </row>
    <row r="199" ht="15" customHeight="1" s="13">
      <c r="A199" s="16" t="inlineStr">
        <is>
          <t>7210/0099</t>
        </is>
      </c>
      <c r="B199" s="16" t="inlineStr">
        <is>
          <t>Wire Seal TS090 Black</t>
        </is>
      </c>
      <c r="C199" s="16" t="inlineStr">
        <is>
          <t>Lab Consumables</t>
        </is>
      </c>
      <c r="D199" s="16" t="inlineStr">
        <is>
          <t>Wire Seal</t>
        </is>
      </c>
      <c r="E199" s="16" t="inlineStr">
        <is>
          <t>NO</t>
        </is>
      </c>
      <c r="F199" s="16" t="inlineStr">
        <is>
          <t>seal box</t>
        </is>
      </c>
      <c r="G199" s="16" t="inlineStr">
        <is>
          <t>MOTHERSON SUMI WIRING INDIA ( M274</t>
        </is>
      </c>
      <c r="H199" s="16" t="n">
        <v>0.59</v>
      </c>
      <c r="I199" s="16" t="n">
        <v>150</v>
      </c>
      <c r="J199" s="16" t="inlineStr">
        <is>
          <t>Yes</t>
        </is>
      </c>
      <c r="K199" s="16" t="n"/>
    </row>
    <row r="200" ht="15" customHeight="1" s="13">
      <c r="A200" s="16" t="inlineStr">
        <is>
          <t>7210/0001</t>
        </is>
      </c>
      <c r="B200" s="16" t="inlineStr">
        <is>
          <t>CAVITYSEAL Rev.Lel.-01 brown</t>
        </is>
      </c>
      <c r="C200" s="16" t="inlineStr">
        <is>
          <t>Lab Consumables</t>
        </is>
      </c>
      <c r="D200" s="16" t="inlineStr">
        <is>
          <t>Wire Seal</t>
        </is>
      </c>
      <c r="E200" s="16" t="inlineStr">
        <is>
          <t>NO</t>
        </is>
      </c>
      <c r="F200" s="16" t="inlineStr">
        <is>
          <t>seal box</t>
        </is>
      </c>
      <c r="G200" s="16" t="inlineStr">
        <is>
          <t>MOTHERSON SUMI WIRING INDIA ( M274</t>
        </is>
      </c>
      <c r="H200" s="16" t="n">
        <v>3.59</v>
      </c>
      <c r="I200" s="16" t="n">
        <v>165</v>
      </c>
      <c r="J200" s="16" t="inlineStr">
        <is>
          <t>Yes</t>
        </is>
      </c>
      <c r="K200" s="16" t="n"/>
    </row>
    <row r="201" ht="15" customHeight="1" s="13">
      <c r="A201" s="16" t="inlineStr">
        <is>
          <t>7210/0100</t>
        </is>
      </c>
      <c r="B201" s="16" t="inlineStr">
        <is>
          <t>TS090 Black Cavity Seal</t>
        </is>
      </c>
      <c r="C201" s="16" t="inlineStr">
        <is>
          <t>Lab Consumables</t>
        </is>
      </c>
      <c r="D201" s="16" t="inlineStr">
        <is>
          <t>Wire Seal</t>
        </is>
      </c>
      <c r="E201" s="16" t="inlineStr">
        <is>
          <t>NO</t>
        </is>
      </c>
      <c r="F201" s="16" t="inlineStr">
        <is>
          <t>seal box</t>
        </is>
      </c>
      <c r="G201" s="16" t="inlineStr">
        <is>
          <t>MOTHERSON SUMI WIRING INDIA ( M274</t>
        </is>
      </c>
      <c r="H201" s="16" t="n">
        <v>3.28</v>
      </c>
      <c r="I201" s="16" t="n">
        <v>20</v>
      </c>
      <c r="J201" s="16" t="inlineStr">
        <is>
          <t>Yes</t>
        </is>
      </c>
      <c r="K201" s="16" t="n"/>
    </row>
    <row r="202" ht="15" customHeight="1" s="13">
      <c r="A202" s="16" t="inlineStr">
        <is>
          <t>7211/0025</t>
        </is>
      </c>
      <c r="B202" s="16" t="inlineStr">
        <is>
          <t>1 WAY TS312 MALE HSG</t>
        </is>
      </c>
      <c r="C202" s="16" t="inlineStr">
        <is>
          <t>Lab Consumables</t>
        </is>
      </c>
      <c r="D202" s="16" t="inlineStr">
        <is>
          <t>WH Misc</t>
        </is>
      </c>
      <c r="E202" s="16" t="inlineStr">
        <is>
          <t>NO</t>
        </is>
      </c>
      <c r="F202" s="16" t="inlineStr">
        <is>
          <t>L-4</t>
        </is>
      </c>
      <c r="G202" s="16" t="inlineStr">
        <is>
          <t>MOTHERSON SUMI WIRING INDIA ( M274</t>
        </is>
      </c>
      <c r="H202" s="16" t="n">
        <v>29.05</v>
      </c>
      <c r="I202" s="16" t="n">
        <v>5</v>
      </c>
      <c r="J202" s="16" t="inlineStr">
        <is>
          <t>Yes</t>
        </is>
      </c>
      <c r="K202" s="16" t="n"/>
    </row>
    <row r="203" ht="15" customHeight="1" s="13">
      <c r="A203" s="16" t="inlineStr">
        <is>
          <t>7212/0001</t>
        </is>
      </c>
      <c r="B203" s="16" t="inlineStr">
        <is>
          <t>2 WAY HW090 FEM HSG (P68)'</t>
        </is>
      </c>
      <c r="C203" s="16" t="inlineStr">
        <is>
          <t>Lab Consumables</t>
        </is>
      </c>
      <c r="D203" s="16" t="inlineStr">
        <is>
          <t>WH Misc</t>
        </is>
      </c>
      <c r="E203" s="16" t="inlineStr">
        <is>
          <t>NO</t>
        </is>
      </c>
      <c r="F203" s="16" t="inlineStr">
        <is>
          <t>L-4</t>
        </is>
      </c>
      <c r="G203" s="16" t="inlineStr">
        <is>
          <t>MOTHERSON SUMI WIRING INDIA ( M274</t>
        </is>
      </c>
      <c r="H203" s="16" t="n">
        <v>20.3</v>
      </c>
      <c r="I203" s="16" t="n">
        <v>5</v>
      </c>
      <c r="J203" s="16" t="inlineStr">
        <is>
          <t>Yes</t>
        </is>
      </c>
      <c r="K203" s="16" t="n"/>
    </row>
    <row r="204" ht="15" customHeight="1" s="13">
      <c r="A204" s="16" t="inlineStr">
        <is>
          <t>7514/0010</t>
        </is>
      </c>
      <c r="B204" s="16" t="inlineStr">
        <is>
          <t>4-PIN DIODE (BLACK)##########</t>
        </is>
      </c>
      <c r="C204" s="16" t="inlineStr">
        <is>
          <t>Lab Consumables</t>
        </is>
      </c>
      <c r="D204" s="16" t="inlineStr">
        <is>
          <t>Diode</t>
        </is>
      </c>
      <c r="E204" s="16" t="inlineStr">
        <is>
          <t>NO</t>
        </is>
      </c>
      <c r="F204" s="16" t="inlineStr">
        <is>
          <t>L-12</t>
        </is>
      </c>
      <c r="G204" s="16" t="inlineStr">
        <is>
          <t>MOTHERSON SUMI WIRING INDIA ( M274</t>
        </is>
      </c>
      <c r="H204" s="16" t="n">
        <v>30.24</v>
      </c>
      <c r="I204" s="16" t="n">
        <v>10</v>
      </c>
      <c r="J204" s="16" t="inlineStr">
        <is>
          <t>Yes</t>
        </is>
      </c>
      <c r="K204" s="16" t="n"/>
    </row>
    <row r="205" ht="15" customHeight="1" s="13">
      <c r="A205" s="16" t="inlineStr">
        <is>
          <t>7219/0008</t>
        </is>
      </c>
      <c r="B205" s="16" t="inlineStr">
        <is>
          <t>14 Way HW090 Pin Retainer</t>
        </is>
      </c>
      <c r="C205" s="16" t="inlineStr">
        <is>
          <t>Lab Consumables</t>
        </is>
      </c>
      <c r="D205" s="16" t="inlineStr">
        <is>
          <t>WH Misc</t>
        </is>
      </c>
      <c r="E205" s="16" t="inlineStr">
        <is>
          <t>NO</t>
        </is>
      </c>
      <c r="F205" s="16" t="inlineStr">
        <is>
          <t>L-2</t>
        </is>
      </c>
      <c r="G205" s="16" t="inlineStr">
        <is>
          <t>MOTHERSON SUMI WIRING INDIA ( M274</t>
        </is>
      </c>
      <c r="H205" s="16" t="n">
        <v>7.7</v>
      </c>
      <c r="I205" s="16" t="n">
        <v>12</v>
      </c>
      <c r="J205" s="16" t="inlineStr">
        <is>
          <t>Yes</t>
        </is>
      </c>
      <c r="K205" s="16" t="n"/>
    </row>
    <row r="206" ht="15" customHeight="1" s="13">
      <c r="A206" s="16" t="inlineStr">
        <is>
          <t>7219/0007</t>
        </is>
      </c>
      <c r="B206" s="16" t="inlineStr">
        <is>
          <t>14 WAY SOCKET RET</t>
        </is>
      </c>
      <c r="C206" s="16" t="inlineStr">
        <is>
          <t>Lab Consumables</t>
        </is>
      </c>
      <c r="D206" s="16" t="inlineStr">
        <is>
          <t>WH Misc</t>
        </is>
      </c>
      <c r="E206" s="16" t="inlineStr">
        <is>
          <t>NO</t>
        </is>
      </c>
      <c r="F206" s="16" t="inlineStr">
        <is>
          <t>L-4</t>
        </is>
      </c>
      <c r="G206" s="16" t="inlineStr">
        <is>
          <t>MOTHERSON SUMI WIRING INDIA ( M274</t>
        </is>
      </c>
      <c r="H206" s="16" t="n">
        <v>6.01</v>
      </c>
      <c r="I206" s="16" t="n">
        <v>20</v>
      </c>
      <c r="J206" s="16" t="inlineStr">
        <is>
          <t>Yes</t>
        </is>
      </c>
      <c r="K206" s="16" t="n"/>
    </row>
    <row r="207" ht="15" customHeight="1" s="13">
      <c r="A207" s="16" t="inlineStr">
        <is>
          <t>7219/0003</t>
        </is>
      </c>
      <c r="B207" s="16" t="inlineStr">
        <is>
          <t>10 Way HW090 Socket Retainer</t>
        </is>
      </c>
      <c r="C207" s="16" t="inlineStr">
        <is>
          <t>Lab Consumables</t>
        </is>
      </c>
      <c r="D207" s="16" t="inlineStr">
        <is>
          <t>WH Misc</t>
        </is>
      </c>
      <c r="E207" s="16" t="inlineStr">
        <is>
          <t>NO</t>
        </is>
      </c>
      <c r="F207" s="16" t="inlineStr">
        <is>
          <t>L-1</t>
        </is>
      </c>
      <c r="G207" s="16" t="inlineStr">
        <is>
          <t>MOTHERSON SUMI WIRING INDIA ( M274</t>
        </is>
      </c>
      <c r="H207" s="16" t="n">
        <v>6.87</v>
      </c>
      <c r="I207" s="16" t="n">
        <v>12</v>
      </c>
      <c r="J207" s="16" t="inlineStr">
        <is>
          <t>Yes</t>
        </is>
      </c>
      <c r="K207" s="16" t="n"/>
    </row>
    <row r="208" ht="15" customHeight="1" s="13">
      <c r="A208" s="16" t="inlineStr">
        <is>
          <t>7218/0003</t>
        </is>
      </c>
      <c r="B208" s="16" t="inlineStr">
        <is>
          <t>8 Way HW090 Socket Retainer</t>
        </is>
      </c>
      <c r="C208" s="16" t="inlineStr">
        <is>
          <t>Lab Consumables</t>
        </is>
      </c>
      <c r="D208" s="16" t="inlineStr">
        <is>
          <t>WH Misc</t>
        </is>
      </c>
      <c r="E208" s="16" t="inlineStr">
        <is>
          <t>NO</t>
        </is>
      </c>
      <c r="F208" s="16" t="inlineStr">
        <is>
          <t>L-1</t>
        </is>
      </c>
      <c r="G208" s="16" t="inlineStr">
        <is>
          <t>MOTHERSON SUMI WIRING INDIA ( M274</t>
        </is>
      </c>
      <c r="H208" s="16" t="n">
        <v>4.72</v>
      </c>
      <c r="I208" s="16" t="n">
        <v>15</v>
      </c>
      <c r="J208" s="16" t="inlineStr">
        <is>
          <t>Yes</t>
        </is>
      </c>
      <c r="K208" s="16" t="n"/>
    </row>
    <row r="209" ht="15" customHeight="1" s="13">
      <c r="A209" s="16" t="inlineStr">
        <is>
          <t>7210/0096</t>
        </is>
      </c>
      <c r="B209" s="16" t="inlineStr">
        <is>
          <t>WIRE SEAL DL305 4.4-5.8 B</t>
        </is>
      </c>
      <c r="C209" s="16" t="inlineStr">
        <is>
          <t>Lab Consumables</t>
        </is>
      </c>
      <c r="D209" s="16" t="inlineStr">
        <is>
          <t>Wire Seal</t>
        </is>
      </c>
      <c r="E209" s="16" t="inlineStr">
        <is>
          <t>NO</t>
        </is>
      </c>
      <c r="F209" s="16" t="inlineStr">
        <is>
          <t>seal box</t>
        </is>
      </c>
      <c r="G209" s="16" t="inlineStr">
        <is>
          <t>MOTHERSON SUMI WIRING INDIA ( M274</t>
        </is>
      </c>
      <c r="H209" s="16" t="n">
        <v>13.63</v>
      </c>
      <c r="I209" s="16" t="n">
        <v>30</v>
      </c>
      <c r="J209" s="16" t="inlineStr">
        <is>
          <t>Yes</t>
        </is>
      </c>
      <c r="K209" s="16" t="n"/>
    </row>
    <row r="210" ht="15" customHeight="1" s="13">
      <c r="A210" s="16" t="inlineStr">
        <is>
          <t>7210/0002</t>
        </is>
      </c>
      <c r="B210" s="16" t="inlineStr">
        <is>
          <t>Seal wire 1.4-2.2mm OD blue</t>
        </is>
      </c>
      <c r="C210" s="16" t="inlineStr">
        <is>
          <t>Lab Consumables</t>
        </is>
      </c>
      <c r="D210" s="16" t="inlineStr">
        <is>
          <t>Wire Seal</t>
        </is>
      </c>
      <c r="E210" s="16" t="inlineStr">
        <is>
          <t>NO</t>
        </is>
      </c>
      <c r="F210" s="16" t="inlineStr">
        <is>
          <t>seal box</t>
        </is>
      </c>
      <c r="G210" s="16" t="inlineStr">
        <is>
          <t>MOTHERSON SUMI WIRING INDIA ( M274</t>
        </is>
      </c>
      <c r="H210" s="16" t="n">
        <v>1.42</v>
      </c>
      <c r="I210" s="16" t="n">
        <v>85</v>
      </c>
      <c r="J210" s="16" t="inlineStr">
        <is>
          <t>Yes</t>
        </is>
      </c>
      <c r="K210" s="16" t="n"/>
    </row>
    <row r="211" ht="15" customHeight="1" s="13">
      <c r="A211" s="16" t="inlineStr">
        <is>
          <t>7201/0708</t>
        </is>
      </c>
      <c r="B211" s="16" t="inlineStr">
        <is>
          <t>TERMINAL FOR 5.0 - 8.0 SQMM FEMALE</t>
        </is>
      </c>
      <c r="C211" s="16" t="inlineStr">
        <is>
          <t>Lab Consumables</t>
        </is>
      </c>
      <c r="D211" s="16" t="inlineStr">
        <is>
          <t>Terminal</t>
        </is>
      </c>
      <c r="E211" s="16" t="inlineStr">
        <is>
          <t>NO</t>
        </is>
      </c>
      <c r="F211" s="16" t="n"/>
      <c r="G211" s="16" t="inlineStr">
        <is>
          <t>MOTHERSON SUMI WIRING INDIA ( M274</t>
        </is>
      </c>
      <c r="H211" s="16" t="n">
        <v>4.15</v>
      </c>
      <c r="I211" s="16" t="n">
        <v>5</v>
      </c>
      <c r="J211" s="16" t="inlineStr">
        <is>
          <t>Yes</t>
        </is>
      </c>
      <c r="K211" s="16" t="n"/>
    </row>
    <row r="212" ht="15" customHeight="1" s="13">
      <c r="A212" s="16" t="inlineStr">
        <is>
          <t>7201/0688</t>
        </is>
      </c>
      <c r="B212" s="16" t="inlineStr">
        <is>
          <t>0.502.00 MM2 250 TYP SKT TERM TIN</t>
        </is>
      </c>
      <c r="C212" s="16" t="inlineStr">
        <is>
          <t>Lab Consumables</t>
        </is>
      </c>
      <c r="D212" s="16" t="inlineStr">
        <is>
          <t>WH Misc</t>
        </is>
      </c>
      <c r="E212" s="16" t="inlineStr">
        <is>
          <t>NO</t>
        </is>
      </c>
      <c r="F212" s="16" t="inlineStr">
        <is>
          <t>L-5</t>
        </is>
      </c>
      <c r="G212" s="16" t="inlineStr">
        <is>
          <t>MOTHERSON SUMI WIRING INDIA ( M274</t>
        </is>
      </c>
      <c r="H212" s="16" t="n">
        <v>1.69</v>
      </c>
      <c r="I212" s="16" t="n">
        <v>70</v>
      </c>
      <c r="J212" s="16" t="inlineStr">
        <is>
          <t>Yes</t>
        </is>
      </c>
      <c r="K212" s="16" t="n"/>
    </row>
    <row r="213" ht="15" customHeight="1" s="13">
      <c r="A213" s="16" t="inlineStr">
        <is>
          <t>7201/0623</t>
        </is>
      </c>
      <c r="B213" s="16" t="inlineStr">
        <is>
          <t>.08.0 Fem Term DL305</t>
        </is>
      </c>
      <c r="C213" s="16" t="inlineStr">
        <is>
          <t>Lab Consumables</t>
        </is>
      </c>
      <c r="D213" s="16" t="inlineStr">
        <is>
          <t>WH Misc</t>
        </is>
      </c>
      <c r="E213" s="16" t="inlineStr">
        <is>
          <t>NO</t>
        </is>
      </c>
      <c r="F213" s="16" t="inlineStr">
        <is>
          <t>L-10</t>
        </is>
      </c>
      <c r="G213" s="16" t="inlineStr">
        <is>
          <t>MOTHERSON SUMI WIRING INDIA ( M274</t>
        </is>
      </c>
      <c r="H213" s="16" t="n">
        <v>14.69</v>
      </c>
      <c r="I213" s="16" t="n">
        <v>10</v>
      </c>
      <c r="J213" s="16" t="inlineStr">
        <is>
          <t>Yes</t>
        </is>
      </c>
      <c r="K213" s="16" t="n"/>
    </row>
    <row r="214" ht="15" customHeight="1" s="13">
      <c r="A214" s="16" t="inlineStr">
        <is>
          <t>7201/0180</t>
        </is>
      </c>
      <c r="B214" s="16" t="inlineStr">
        <is>
          <t>TS SOCKET TERMINAL MSSL</t>
        </is>
      </c>
      <c r="C214" s="16" t="inlineStr">
        <is>
          <t>Lab Consumables</t>
        </is>
      </c>
      <c r="D214" s="16" t="inlineStr">
        <is>
          <t>Terminal</t>
        </is>
      </c>
      <c r="E214" s="16" t="inlineStr">
        <is>
          <t>NO</t>
        </is>
      </c>
      <c r="F214" s="16" t="inlineStr">
        <is>
          <t>L-10</t>
        </is>
      </c>
      <c r="G214" s="16" t="inlineStr">
        <is>
          <t>MOTHERSON SUMI WIRING INDIA ( M274</t>
        </is>
      </c>
      <c r="H214" s="16" t="n">
        <v>3.08</v>
      </c>
      <c r="I214" s="16" t="n">
        <v>10</v>
      </c>
      <c r="J214" s="16" t="inlineStr">
        <is>
          <t>Yes</t>
        </is>
      </c>
      <c r="K214" s="16" t="n"/>
    </row>
    <row r="215" ht="15" customHeight="1" s="13">
      <c r="A215" s="16" t="inlineStr">
        <is>
          <t>332/E9931</t>
        </is>
      </c>
      <c r="B215" s="16" t="inlineStr">
        <is>
          <t>5.008.00mm² DL305 Pin Term Tin</t>
        </is>
      </c>
      <c r="C215" s="16" t="inlineStr">
        <is>
          <t>Lab Consumables</t>
        </is>
      </c>
      <c r="D215" s="16" t="inlineStr">
        <is>
          <t>WH Misc</t>
        </is>
      </c>
      <c r="E215" s="16" t="inlineStr">
        <is>
          <t>NO</t>
        </is>
      </c>
      <c r="F215" s="16" t="inlineStr">
        <is>
          <t>L-8</t>
        </is>
      </c>
      <c r="G215" s="16" t="inlineStr">
        <is>
          <t>MOTHERSON SUMI WIRING INDIA ( M274</t>
        </is>
      </c>
      <c r="H215" s="16" t="n">
        <v>13.71</v>
      </c>
      <c r="I215" s="16" t="n">
        <v>20</v>
      </c>
      <c r="J215" s="16" t="inlineStr">
        <is>
          <t>Yes</t>
        </is>
      </c>
      <c r="K215" s="16" t="n"/>
    </row>
    <row r="216" ht="15" customHeight="1" s="13">
      <c r="A216" s="16" t="inlineStr">
        <is>
          <t>7212/0156</t>
        </is>
      </c>
      <c r="B216" s="16" t="inlineStr">
        <is>
          <t>2 WAY MT090 PIN HSG NATUR</t>
        </is>
      </c>
      <c r="C216" s="16" t="inlineStr">
        <is>
          <t>Lab Consumables</t>
        </is>
      </c>
      <c r="D216" s="16" t="inlineStr">
        <is>
          <t>WH Misc</t>
        </is>
      </c>
      <c r="E216" s="16" t="inlineStr">
        <is>
          <t>NO</t>
        </is>
      </c>
      <c r="F216" s="16" t="n"/>
      <c r="G216" s="16" t="inlineStr">
        <is>
          <t>MOTHERSON SUMI WIRING INDIA ( M274</t>
        </is>
      </c>
      <c r="H216" s="16" t="n">
        <v>12.76</v>
      </c>
      <c r="I216" s="16" t="n">
        <v>20</v>
      </c>
      <c r="J216" s="16" t="inlineStr">
        <is>
          <t>Yes</t>
        </is>
      </c>
      <c r="K216" s="16" t="n"/>
    </row>
    <row r="217" ht="15" customHeight="1" s="13">
      <c r="A217" s="16" t="inlineStr">
        <is>
          <t>7212/0128</t>
        </is>
      </c>
      <c r="B217" s="16" t="inlineStr">
        <is>
          <t>2 WAY MT090 FEM HSG NATURAL</t>
        </is>
      </c>
      <c r="C217" s="16" t="inlineStr">
        <is>
          <t>Lab Consumables</t>
        </is>
      </c>
      <c r="D217" s="16" t="inlineStr">
        <is>
          <t>WH Misc</t>
        </is>
      </c>
      <c r="E217" s="16" t="inlineStr">
        <is>
          <t>NO</t>
        </is>
      </c>
      <c r="F217" s="16" t="inlineStr">
        <is>
          <t>L-5</t>
        </is>
      </c>
      <c r="G217" s="16" t="inlineStr">
        <is>
          <t>MOTHERSON SUMI WIRING INDIA ( M274</t>
        </is>
      </c>
      <c r="H217" s="16" t="n">
        <v>8.710000000000001</v>
      </c>
      <c r="I217" s="16" t="n">
        <v>25</v>
      </c>
      <c r="J217" s="16" t="inlineStr">
        <is>
          <t>Yes</t>
        </is>
      </c>
      <c r="K217" s="16" t="n"/>
    </row>
    <row r="218" ht="15" customHeight="1" s="13">
      <c r="A218" s="16" t="inlineStr">
        <is>
          <t>7219/0001</t>
        </is>
      </c>
      <c r="B218" s="16" t="inlineStr">
        <is>
          <t>10 Way HW090 Socket Housing</t>
        </is>
      </c>
      <c r="C218" s="16" t="inlineStr">
        <is>
          <t>Lab Consumables</t>
        </is>
      </c>
      <c r="D218" s="16" t="inlineStr">
        <is>
          <t>WH Misc</t>
        </is>
      </c>
      <c r="E218" s="16" t="inlineStr">
        <is>
          <t>NO</t>
        </is>
      </c>
      <c r="F218" s="16" t="inlineStr">
        <is>
          <t>L-2</t>
        </is>
      </c>
      <c r="G218" s="16" t="inlineStr">
        <is>
          <t>MOTHERSON SUMI WIRING INDIA ( M274</t>
        </is>
      </c>
      <c r="H218" s="16" t="n">
        <v>41.06</v>
      </c>
      <c r="I218" s="16" t="n">
        <v>12</v>
      </c>
      <c r="J218" s="16" t="inlineStr">
        <is>
          <t>Yes</t>
        </is>
      </c>
      <c r="K218" s="16" t="n"/>
    </row>
    <row r="219" ht="15" customHeight="1" s="13">
      <c r="A219" s="16" t="inlineStr">
        <is>
          <t>7212/0141</t>
        </is>
      </c>
      <c r="B219" s="16" t="inlineStr">
        <is>
          <t>2WAY SEALED FEM HSG WP 2PB</t>
        </is>
      </c>
      <c r="C219" s="16" t="inlineStr">
        <is>
          <t>Lab Consumables</t>
        </is>
      </c>
      <c r="D219" s="16" t="inlineStr">
        <is>
          <t>Wire Seal</t>
        </is>
      </c>
      <c r="E219" s="16" t="inlineStr">
        <is>
          <t>NO</t>
        </is>
      </c>
      <c r="F219" s="16" t="inlineStr">
        <is>
          <t>L-2</t>
        </is>
      </c>
      <c r="G219" s="16" t="inlineStr">
        <is>
          <t>MOTHERSON SUMI WIRING INDIA ( M274</t>
        </is>
      </c>
      <c r="H219" s="16" t="n">
        <v>104.32</v>
      </c>
      <c r="I219" s="16" t="n">
        <v>10</v>
      </c>
      <c r="J219" s="16" t="inlineStr">
        <is>
          <t>Yes</t>
        </is>
      </c>
      <c r="K219" s="16" t="n"/>
    </row>
    <row r="220" ht="15" customHeight="1" s="13">
      <c r="A220" s="16" t="inlineStr">
        <is>
          <t>7214/0068</t>
        </is>
      </c>
      <c r="B220" s="16" t="inlineStr">
        <is>
          <t>4 WAY ET250 MALE HSG UNSEALED</t>
        </is>
      </c>
      <c r="C220" s="16" t="inlineStr">
        <is>
          <t>Lab Consumables</t>
        </is>
      </c>
      <c r="D220" s="16" t="inlineStr">
        <is>
          <t>Wire Seal</t>
        </is>
      </c>
      <c r="E220" s="16" t="inlineStr">
        <is>
          <t>NO</t>
        </is>
      </c>
      <c r="F220" s="16" t="inlineStr">
        <is>
          <t>BIN-7-01</t>
        </is>
      </c>
      <c r="G220" s="16" t="inlineStr">
        <is>
          <t>MOTHERSON SUMI WIRING INDIA ( M274</t>
        </is>
      </c>
      <c r="H220" s="16" t="n">
        <v>4.85</v>
      </c>
      <c r="I220" s="16" t="n">
        <v>15</v>
      </c>
      <c r="J220" s="16" t="inlineStr">
        <is>
          <t>Yes</t>
        </is>
      </c>
      <c r="K220" s="16" t="n"/>
    </row>
    <row r="221" ht="15" customHeight="1" s="13">
      <c r="A221" s="16" t="inlineStr">
        <is>
          <t>7219/0006</t>
        </is>
      </c>
      <c r="B221" s="16" t="inlineStr">
        <is>
          <t>14 Way HW090 Pin Housing</t>
        </is>
      </c>
      <c r="C221" s="16" t="inlineStr">
        <is>
          <t>Lab Consumables</t>
        </is>
      </c>
      <c r="D221" s="16" t="inlineStr">
        <is>
          <t>WH Misc</t>
        </is>
      </c>
      <c r="E221" s="16" t="inlineStr">
        <is>
          <t>NO</t>
        </is>
      </c>
      <c r="F221" s="16" t="inlineStr">
        <is>
          <t>L-2</t>
        </is>
      </c>
      <c r="G221" s="16" t="inlineStr">
        <is>
          <t>MOTHERSON SUMI WIRING INDIA ( M274</t>
        </is>
      </c>
      <c r="H221" s="16" t="n">
        <v>10.67</v>
      </c>
      <c r="I221" s="16" t="n">
        <v>12</v>
      </c>
      <c r="J221" s="16" t="inlineStr">
        <is>
          <t>Yes</t>
        </is>
      </c>
      <c r="K221" s="16" t="n"/>
    </row>
    <row r="222" ht="15" customHeight="1" s="13">
      <c r="A222" s="16" t="inlineStr">
        <is>
          <t>7213/0066</t>
        </is>
      </c>
      <c r="B222" s="16" t="inlineStr">
        <is>
          <t>3 WAY FEM SEALED GREY HSG 11045WYA03FGRE</t>
        </is>
      </c>
      <c r="C222" s="16" t="inlineStr">
        <is>
          <t>Lab Consumables</t>
        </is>
      </c>
      <c r="D222" s="16" t="inlineStr">
        <is>
          <t>Wire Seal</t>
        </is>
      </c>
      <c r="E222" s="16" t="inlineStr">
        <is>
          <t>NO</t>
        </is>
      </c>
      <c r="F222" s="16" t="inlineStr">
        <is>
          <t>L-3</t>
        </is>
      </c>
      <c r="G222" s="16" t="inlineStr">
        <is>
          <t>MOTHERSON SUMI WIRING INDIA ( M274</t>
        </is>
      </c>
      <c r="H222" s="16" t="n">
        <v>14.72</v>
      </c>
      <c r="I222" s="16" t="n">
        <v>5</v>
      </c>
      <c r="J222" s="16" t="inlineStr">
        <is>
          <t>Yes</t>
        </is>
      </c>
      <c r="K222" s="16" t="n"/>
    </row>
    <row r="223" ht="15" customHeight="1" s="13">
      <c r="A223" s="16" t="inlineStr">
        <is>
          <t>7218/0001</t>
        </is>
      </c>
      <c r="B223" s="16" t="inlineStr">
        <is>
          <t>8 Way HW090 Socket Housing</t>
        </is>
      </c>
      <c r="C223" s="16" t="inlineStr">
        <is>
          <t>Lab Consumables</t>
        </is>
      </c>
      <c r="D223" s="16" t="inlineStr">
        <is>
          <t>WH Misc</t>
        </is>
      </c>
      <c r="E223" s="16" t="inlineStr">
        <is>
          <t>NO</t>
        </is>
      </c>
      <c r="F223" s="16" t="inlineStr">
        <is>
          <t>L-2</t>
        </is>
      </c>
      <c r="G223" s="16" t="inlineStr">
        <is>
          <t>MOTHERSON SUMI WIRING INDIA ( M274</t>
        </is>
      </c>
      <c r="H223" s="16" t="n">
        <v>37.58</v>
      </c>
      <c r="I223" s="16" t="n">
        <v>12</v>
      </c>
      <c r="J223" s="16" t="inlineStr">
        <is>
          <t>Yes</t>
        </is>
      </c>
      <c r="K223" s="16" t="n"/>
    </row>
    <row r="224" ht="15" customHeight="1" s="13">
      <c r="A224" s="16" t="inlineStr">
        <is>
          <t>7212/0060</t>
        </is>
      </c>
      <c r="B224" s="16" t="inlineStr">
        <is>
          <t>Housing Female DL 305Â#Â# 2 WAY -Rev.Lel.-01</t>
        </is>
      </c>
      <c r="C224" s="16" t="inlineStr">
        <is>
          <t>Lab Consumables</t>
        </is>
      </c>
      <c r="D224" s="16" t="inlineStr">
        <is>
          <t>WH Misc</t>
        </is>
      </c>
      <c r="E224" s="16" t="inlineStr">
        <is>
          <t>F</t>
        </is>
      </c>
      <c r="F224" s="16" t="n"/>
      <c r="G224" s="16" t="inlineStr">
        <is>
          <t>MOTHERSON SUMI WIRING INDIA ( M274</t>
        </is>
      </c>
      <c r="H224" s="16" t="n">
        <v>30.92</v>
      </c>
      <c r="I224" s="16" t="n">
        <v>5</v>
      </c>
      <c r="J224" s="16" t="inlineStr">
        <is>
          <t>Yes</t>
        </is>
      </c>
      <c r="K224" s="16" t="n"/>
    </row>
    <row r="225" ht="15" customHeight="1" s="13">
      <c r="A225" s="16" t="inlineStr">
        <is>
          <t>7201/0666</t>
        </is>
      </c>
      <c r="B225" s="16" t="n"/>
      <c r="C225" s="16" t="inlineStr">
        <is>
          <t>Lab Consumables</t>
        </is>
      </c>
      <c r="D225" s="16" t="inlineStr">
        <is>
          <t>WH Misc</t>
        </is>
      </c>
      <c r="E225" s="16" t="inlineStr">
        <is>
          <t>NO</t>
        </is>
      </c>
      <c r="F225" s="16" t="n"/>
      <c r="G225" s="16" t="n"/>
      <c r="H225" s="16" t="n"/>
      <c r="I225" s="16" t="n"/>
      <c r="J225" s="16" t="inlineStr">
        <is>
          <t>Yes</t>
        </is>
      </c>
      <c r="K225" s="16" t="n"/>
    </row>
    <row r="226" ht="15" customHeight="1" s="13">
      <c r="A226" s="16" t="inlineStr">
        <is>
          <t>7201/0764</t>
        </is>
      </c>
      <c r="B226" s="16" t="n"/>
      <c r="C226" s="16" t="inlineStr">
        <is>
          <t>Lab Consumables</t>
        </is>
      </c>
      <c r="D226" s="16" t="inlineStr">
        <is>
          <t>WH Misc</t>
        </is>
      </c>
      <c r="E226" s="16" t="inlineStr">
        <is>
          <t>NO</t>
        </is>
      </c>
      <c r="F226" s="16" t="inlineStr">
        <is>
          <t>L-7</t>
        </is>
      </c>
      <c r="G226" s="16" t="n"/>
      <c r="H226" s="16" t="n"/>
      <c r="I226" s="16" t="n">
        <v>100</v>
      </c>
      <c r="J226" s="16" t="inlineStr">
        <is>
          <t>Yes</t>
        </is>
      </c>
      <c r="K226" s="16" t="n"/>
    </row>
    <row r="227" ht="15" customHeight="1" s="13">
      <c r="A227" s="16" t="inlineStr">
        <is>
          <t>7219/0494</t>
        </is>
      </c>
      <c r="B227" s="16" t="inlineStr">
        <is>
          <t>66 Way SRC PIN HSG</t>
        </is>
      </c>
      <c r="C227" s="16" t="inlineStr">
        <is>
          <t>Lab Consumables</t>
        </is>
      </c>
      <c r="D227" s="16" t="inlineStr">
        <is>
          <t>WH Misc</t>
        </is>
      </c>
      <c r="E227" s="16" t="inlineStr">
        <is>
          <t>NO</t>
        </is>
      </c>
      <c r="F227" s="16" t="inlineStr">
        <is>
          <t>EMC-06</t>
        </is>
      </c>
      <c r="G227" s="16" t="inlineStr">
        <is>
          <t>TE CONNECTIVITY</t>
        </is>
      </c>
      <c r="H227" s="16" t="n"/>
      <c r="I227" s="16" t="n">
        <v>3</v>
      </c>
      <c r="J227" s="16" t="inlineStr">
        <is>
          <t>Yes</t>
        </is>
      </c>
      <c r="K227" s="16" t="n"/>
    </row>
    <row r="228" ht="15" customHeight="1" s="13">
      <c r="A228" s="16" t="inlineStr">
        <is>
          <t>7219/0493</t>
        </is>
      </c>
      <c r="B228" s="16" t="inlineStr">
        <is>
          <t>66 WAY SRC SKT HSG</t>
        </is>
      </c>
      <c r="C228" s="16" t="inlineStr">
        <is>
          <t>Lab Consumables</t>
        </is>
      </c>
      <c r="D228" s="16" t="inlineStr">
        <is>
          <t>WH Misc</t>
        </is>
      </c>
      <c r="E228" s="16" t="inlineStr">
        <is>
          <t>NO</t>
        </is>
      </c>
      <c r="F228" s="16" t="inlineStr">
        <is>
          <t>EMC-06</t>
        </is>
      </c>
      <c r="G228" s="16" t="n"/>
      <c r="H228" s="16" t="n"/>
      <c r="I228" s="16" t="n">
        <v>3</v>
      </c>
      <c r="J228" s="16" t="inlineStr">
        <is>
          <t>Yes</t>
        </is>
      </c>
      <c r="K228" s="16" t="n"/>
    </row>
    <row r="229" ht="15" customHeight="1" s="13">
      <c r="A229" s="16" t="inlineStr">
        <is>
          <t>7201/1137</t>
        </is>
      </c>
      <c r="B229" s="16" t="inlineStr">
        <is>
          <t>0.2-0.5mm2 110PL SKT TIN TERM</t>
        </is>
      </c>
      <c r="C229" s="16" t="inlineStr">
        <is>
          <t>Lab Consumables</t>
        </is>
      </c>
      <c r="D229" s="16" t="inlineStr">
        <is>
          <t>WH Misc</t>
        </is>
      </c>
      <c r="E229" s="16" t="inlineStr">
        <is>
          <t>NO</t>
        </is>
      </c>
      <c r="F229" s="16" t="inlineStr">
        <is>
          <t>BIN-6-02</t>
        </is>
      </c>
      <c r="G229" s="16" t="inlineStr">
        <is>
          <t>TE CONNECTIVITY</t>
        </is>
      </c>
      <c r="H229" s="16" t="n"/>
      <c r="I229" s="16" t="n">
        <v>50</v>
      </c>
      <c r="J229" s="16" t="inlineStr">
        <is>
          <t>Yes</t>
        </is>
      </c>
      <c r="K229" s="16" t="n"/>
    </row>
    <row r="230" ht="15" customHeight="1" s="13">
      <c r="A230" s="16" t="inlineStr">
        <is>
          <t>7231/0008</t>
        </is>
      </c>
      <c r="B230" s="16" t="inlineStr">
        <is>
          <t>1 Way 4.8 Pos Lock Fem Hsg</t>
        </is>
      </c>
      <c r="C230" s="16" t="inlineStr">
        <is>
          <t>Lab Consumables</t>
        </is>
      </c>
      <c r="D230" s="16" t="inlineStr">
        <is>
          <t>WH Misc</t>
        </is>
      </c>
      <c r="E230" s="16" t="inlineStr">
        <is>
          <t>NO</t>
        </is>
      </c>
      <c r="F230" s="16" t="inlineStr">
        <is>
          <t>EMC-06</t>
        </is>
      </c>
      <c r="G230" s="16" t="n"/>
      <c r="H230" s="16" t="n"/>
      <c r="I230" s="16" t="n">
        <v>10</v>
      </c>
      <c r="J230" s="16" t="inlineStr">
        <is>
          <t>Yes</t>
        </is>
      </c>
      <c r="K230" s="16" t="n"/>
    </row>
    <row r="231" ht="15" customHeight="1" s="13">
      <c r="A231" s="16" t="inlineStr">
        <is>
          <t>7204/0160</t>
        </is>
      </c>
      <c r="B231" s="16" t="inlineStr">
        <is>
          <t>0.50-1.00mm² Timer Pin Term Silver</t>
        </is>
      </c>
      <c r="C231" s="16" t="inlineStr">
        <is>
          <t>Lab Consumables</t>
        </is>
      </c>
      <c r="D231" s="16" t="inlineStr">
        <is>
          <t>WH Misc</t>
        </is>
      </c>
      <c r="E231" s="16" t="inlineStr">
        <is>
          <t>NO</t>
        </is>
      </c>
      <c r="F231" s="16" t="inlineStr">
        <is>
          <t>L-8</t>
        </is>
      </c>
      <c r="G231" s="16" t="inlineStr">
        <is>
          <t>TE CONNECTIVITY</t>
        </is>
      </c>
      <c r="H231" s="16" t="n"/>
      <c r="I231" s="16" t="n">
        <v>100</v>
      </c>
      <c r="J231" s="16" t="inlineStr">
        <is>
          <t>Yes</t>
        </is>
      </c>
      <c r="K231" s="16" t="n"/>
    </row>
    <row r="232" ht="15" customHeight="1" s="13">
      <c r="A232" s="16" t="inlineStr">
        <is>
          <t>7204/0124</t>
        </is>
      </c>
      <c r="B232" s="16" t="inlineStr">
        <is>
          <t>0.50-1.00mm² Male 1.5 MCP Term Silver</t>
        </is>
      </c>
      <c r="C232" s="16" t="inlineStr">
        <is>
          <t>Lab Consumables</t>
        </is>
      </c>
      <c r="D232" s="16" t="inlineStr">
        <is>
          <t>WH Misc</t>
        </is>
      </c>
      <c r="E232" s="16" t="inlineStr">
        <is>
          <t>NO</t>
        </is>
      </c>
      <c r="F232" s="16" t="inlineStr">
        <is>
          <t>L-9</t>
        </is>
      </c>
      <c r="G232" s="16" t="inlineStr">
        <is>
          <t>TE CONNECTIVITY</t>
        </is>
      </c>
      <c r="H232" s="16" t="n"/>
      <c r="I232" s="16" t="n">
        <v>67</v>
      </c>
      <c r="J232" s="16" t="inlineStr">
        <is>
          <t>Yes</t>
        </is>
      </c>
      <c r="K232" s="16" t="n"/>
    </row>
    <row r="233" ht="15" customHeight="1" s="13">
      <c r="A233" s="16" t="inlineStr">
        <is>
          <t>7201/0070</t>
        </is>
      </c>
      <c r="B233" s="16" t="inlineStr">
        <is>
          <t>0.75-2.00mm² Size 16 Socket Terminal</t>
        </is>
      </c>
      <c r="C233" s="16" t="inlineStr">
        <is>
          <t>Lab Consumables</t>
        </is>
      </c>
      <c r="D233" s="16" t="inlineStr">
        <is>
          <t>Terminal</t>
        </is>
      </c>
      <c r="E233" s="16" t="inlineStr">
        <is>
          <t>NO</t>
        </is>
      </c>
      <c r="F233" s="16" t="inlineStr">
        <is>
          <t>L-10</t>
        </is>
      </c>
      <c r="G233" s="16" t="inlineStr">
        <is>
          <t>TE CONNECTIVITY</t>
        </is>
      </c>
      <c r="H233" s="16" t="n"/>
      <c r="I233" s="16" t="n">
        <v>100</v>
      </c>
      <c r="J233" s="16" t="inlineStr">
        <is>
          <t>Yes</t>
        </is>
      </c>
      <c r="K233" s="16" t="n"/>
    </row>
    <row r="234" ht="15" customHeight="1" s="13">
      <c r="A234" s="16" t="inlineStr">
        <is>
          <t>7201/0657</t>
        </is>
      </c>
      <c r="B234" s="16" t="inlineStr">
        <is>
          <t>0.50-1.00mm² MCP1.5K SKT Term Silver</t>
        </is>
      </c>
      <c r="C234" s="16" t="inlineStr">
        <is>
          <t>Lab Consumables</t>
        </is>
      </c>
      <c r="D234" s="16" t="inlineStr">
        <is>
          <t>WH Misc</t>
        </is>
      </c>
      <c r="E234" s="16" t="inlineStr">
        <is>
          <t>NO</t>
        </is>
      </c>
      <c r="F234" s="16" t="inlineStr">
        <is>
          <t>L-7</t>
        </is>
      </c>
      <c r="G234" s="16" t="inlineStr">
        <is>
          <t>TE CONNECTIVITY</t>
        </is>
      </c>
      <c r="H234" s="16" t="n"/>
      <c r="I234" s="16" t="n">
        <v>100</v>
      </c>
      <c r="J234" s="16" t="inlineStr">
        <is>
          <t>Yes</t>
        </is>
      </c>
      <c r="K234" s="16" t="n"/>
    </row>
    <row r="235" ht="15" customHeight="1" s="13">
      <c r="A235" s="16" t="inlineStr">
        <is>
          <t>7201/0653</t>
        </is>
      </c>
      <c r="B235" s="16" t="inlineStr">
        <is>
          <t>MCP2.8 Fem Timer 0.5-1.0 Silver</t>
        </is>
      </c>
      <c r="C235" s="16" t="inlineStr">
        <is>
          <t>Lab Consumables</t>
        </is>
      </c>
      <c r="D235" s="16" t="inlineStr">
        <is>
          <t>WH Misc</t>
        </is>
      </c>
      <c r="E235" s="16" t="inlineStr">
        <is>
          <t>NO</t>
        </is>
      </c>
      <c r="F235" s="16" t="inlineStr">
        <is>
          <t>L-7</t>
        </is>
      </c>
      <c r="G235" s="16" t="inlineStr">
        <is>
          <t>TE CONNECTIVITY</t>
        </is>
      </c>
      <c r="H235" s="16" t="n"/>
      <c r="I235" s="16" t="n">
        <v>100</v>
      </c>
      <c r="J235" s="16" t="inlineStr">
        <is>
          <t>Yes</t>
        </is>
      </c>
      <c r="K235" s="16" t="n"/>
    </row>
    <row r="236" ht="15" customHeight="1" s="13">
      <c r="A236" s="16" t="inlineStr">
        <is>
          <t>7213/0083</t>
        </is>
      </c>
      <c r="B236" s="16" t="inlineStr">
        <is>
          <t>3 Way HDSCS SKT HSG Key A</t>
        </is>
      </c>
      <c r="C236" s="16" t="inlineStr">
        <is>
          <t>Lab Consumables</t>
        </is>
      </c>
      <c r="D236" s="16" t="inlineStr">
        <is>
          <t>WH Misc</t>
        </is>
      </c>
      <c r="E236" s="16" t="inlineStr">
        <is>
          <t>NO</t>
        </is>
      </c>
      <c r="F236" s="16" t="inlineStr">
        <is>
          <t>L-9</t>
        </is>
      </c>
      <c r="G236" s="16" t="inlineStr">
        <is>
          <t>TE CONNECTIVITY</t>
        </is>
      </c>
      <c r="H236" s="16" t="n"/>
      <c r="I236" s="16" t="n">
        <v>10</v>
      </c>
      <c r="J236" s="16" t="inlineStr">
        <is>
          <t>Yes</t>
        </is>
      </c>
      <c r="K236" s="16" t="n"/>
    </row>
    <row r="237" ht="15" customHeight="1" s="13">
      <c r="A237" s="16" t="inlineStr">
        <is>
          <t>7243/0575</t>
        </is>
      </c>
      <c r="B237" s="16" t="inlineStr">
        <is>
          <t>3 Way HP Adapter 90 Deg Left/Right NC08</t>
        </is>
      </c>
      <c r="C237" s="16" t="inlineStr">
        <is>
          <t>Lab Consumables</t>
        </is>
      </c>
      <c r="D237" s="16" t="inlineStr">
        <is>
          <t>WH Misc</t>
        </is>
      </c>
      <c r="E237" s="16" t="inlineStr">
        <is>
          <t>NO</t>
        </is>
      </c>
      <c r="F237" s="16" t="inlineStr">
        <is>
          <t>L-3</t>
        </is>
      </c>
      <c r="G237" s="16" t="inlineStr">
        <is>
          <t>TE CONNECTIVITY</t>
        </is>
      </c>
      <c r="H237" s="16" t="n"/>
      <c r="I237" s="16" t="n">
        <v>10</v>
      </c>
      <c r="J237" s="16" t="inlineStr">
        <is>
          <t>Yes</t>
        </is>
      </c>
      <c r="K237" s="16" t="n"/>
    </row>
    <row r="238" ht="15" customHeight="1" s="13">
      <c r="A238" s="16" t="inlineStr">
        <is>
          <t>7213/0099</t>
        </is>
      </c>
      <c r="B238" s="16" t="inlineStr">
        <is>
          <t>3 Way DT04 Pin HSG Snap Cap</t>
        </is>
      </c>
      <c r="C238" s="16" t="inlineStr">
        <is>
          <t>Lab Consumables</t>
        </is>
      </c>
      <c r="D238" s="16" t="inlineStr">
        <is>
          <t>WH Misc</t>
        </is>
      </c>
      <c r="E238" s="16" t="inlineStr">
        <is>
          <t>NO</t>
        </is>
      </c>
      <c r="F238" s="16" t="inlineStr">
        <is>
          <t>S-1</t>
        </is>
      </c>
      <c r="G238" s="16" t="inlineStr">
        <is>
          <t>TE CONNECTIVITY</t>
        </is>
      </c>
      <c r="H238" s="16" t="n"/>
      <c r="I238" s="16" t="n">
        <v>5</v>
      </c>
      <c r="J238" s="16" t="inlineStr">
        <is>
          <t>Yes</t>
        </is>
      </c>
      <c r="K238" s="16" t="n"/>
    </row>
    <row r="239" ht="15" customHeight="1" s="13">
      <c r="A239" s="16" t="inlineStr">
        <is>
          <t>7213/0098</t>
        </is>
      </c>
      <c r="B239" s="16" t="inlineStr">
        <is>
          <t>3 Way DT06 SKT HSG Snap Cap</t>
        </is>
      </c>
      <c r="C239" s="16" t="inlineStr">
        <is>
          <t>Lab Consumables</t>
        </is>
      </c>
      <c r="D239" s="16" t="inlineStr">
        <is>
          <t>WH Misc</t>
        </is>
      </c>
      <c r="E239" s="16" t="inlineStr">
        <is>
          <t>NO</t>
        </is>
      </c>
      <c r="F239" s="16" t="inlineStr">
        <is>
          <t>D1-3</t>
        </is>
      </c>
      <c r="G239" s="16" t="inlineStr">
        <is>
          <t>TE CONNECTIVITY</t>
        </is>
      </c>
      <c r="H239" s="16" t="n"/>
      <c r="I239" s="16" t="n">
        <v>5</v>
      </c>
      <c r="J239" s="16" t="inlineStr">
        <is>
          <t>Yes</t>
        </is>
      </c>
      <c r="K239" s="16" t="n"/>
    </row>
    <row r="240" ht="15" customHeight="1" s="13">
      <c r="A240" s="16" t="inlineStr">
        <is>
          <t>716/30252</t>
        </is>
      </c>
      <c r="B240" s="16" t="inlineStr">
        <is>
          <t>Relay Grid Heater</t>
        </is>
      </c>
      <c r="C240" s="16" t="inlineStr">
        <is>
          <t>Lab Consumables</t>
        </is>
      </c>
      <c r="D240" s="16" t="inlineStr">
        <is>
          <t>Relay</t>
        </is>
      </c>
      <c r="E240" s="16" t="inlineStr">
        <is>
          <t>NO</t>
        </is>
      </c>
      <c r="F240" s="16" t="inlineStr">
        <is>
          <t>EMI CUPBOARD</t>
        </is>
      </c>
      <c r="G240" s="16" t="inlineStr">
        <is>
          <t>TE CONNECTIVITY</t>
        </is>
      </c>
      <c r="H240" s="16" t="n"/>
      <c r="I240" s="16" t="n">
        <v>5</v>
      </c>
      <c r="J240" s="16" t="inlineStr">
        <is>
          <t>Yes</t>
        </is>
      </c>
      <c r="K240" s="16" t="n"/>
    </row>
    <row r="241" ht="15" customHeight="1" s="13">
      <c r="A241" s="16" t="inlineStr">
        <is>
          <t>7219/0019</t>
        </is>
      </c>
      <c r="B241" s="16" t="inlineStr">
        <is>
          <t>12 Way DTM06 Socket Housing Key B</t>
        </is>
      </c>
      <c r="C241" s="16" t="inlineStr">
        <is>
          <t>Lab Consumables</t>
        </is>
      </c>
      <c r="D241" s="16" t="inlineStr">
        <is>
          <t>WH Misc</t>
        </is>
      </c>
      <c r="E241" s="16" t="inlineStr">
        <is>
          <t>NO</t>
        </is>
      </c>
      <c r="F241" s="16" t="inlineStr">
        <is>
          <t>EMC-05</t>
        </is>
      </c>
      <c r="G241" s="16" t="inlineStr">
        <is>
          <t>TE CONNECTIVITY</t>
        </is>
      </c>
      <c r="H241" s="16" t="n"/>
      <c r="I241" s="16" t="n">
        <v>10</v>
      </c>
      <c r="J241" s="16" t="inlineStr">
        <is>
          <t>Yes</t>
        </is>
      </c>
      <c r="K241" s="16" t="n"/>
    </row>
    <row r="242" ht="15" customHeight="1" s="13">
      <c r="A242" s="16" t="inlineStr">
        <is>
          <t>7239/0084</t>
        </is>
      </c>
      <c r="B242" s="16" t="inlineStr">
        <is>
          <t>36 WAY MCP 1.5K SKT INSERT HSG</t>
        </is>
      </c>
      <c r="C242" s="16" t="inlineStr">
        <is>
          <t>Lab Consumables</t>
        </is>
      </c>
      <c r="D242" s="16" t="inlineStr">
        <is>
          <t>WH Misc</t>
        </is>
      </c>
      <c r="E242" s="16" t="inlineStr">
        <is>
          <t>NO</t>
        </is>
      </c>
      <c r="F242" s="16" t="inlineStr">
        <is>
          <t>EMC-05</t>
        </is>
      </c>
      <c r="G242" s="16" t="inlineStr">
        <is>
          <t>TE CONNECTIVITY</t>
        </is>
      </c>
      <c r="H242" s="16" t="n"/>
      <c r="I242" s="16" t="n">
        <v>50</v>
      </c>
      <c r="J242" s="16" t="inlineStr">
        <is>
          <t>Yes</t>
        </is>
      </c>
      <c r="K242" s="16" t="n"/>
    </row>
    <row r="243" ht="15" customHeight="1" s="13">
      <c r="A243" s="16" t="inlineStr">
        <is>
          <t>7219/0402</t>
        </is>
      </c>
      <c r="B243" s="16" t="inlineStr">
        <is>
          <t>21 Way AMP MCP 2.8 SKT HSG Black</t>
        </is>
      </c>
      <c r="C243" s="16" t="inlineStr">
        <is>
          <t>Lab Consumables</t>
        </is>
      </c>
      <c r="D243" s="16" t="inlineStr">
        <is>
          <t>WH Misc</t>
        </is>
      </c>
      <c r="E243" s="16" t="inlineStr">
        <is>
          <t>NO</t>
        </is>
      </c>
      <c r="F243" s="16" t="inlineStr">
        <is>
          <t>L-14</t>
        </is>
      </c>
      <c r="G243" s="16" t="inlineStr">
        <is>
          <t>TE CONNECTIVITY</t>
        </is>
      </c>
      <c r="H243" s="16" t="n"/>
      <c r="I243" s="16" t="n">
        <v>12</v>
      </c>
      <c r="J243" s="16" t="inlineStr">
        <is>
          <t>Yes</t>
        </is>
      </c>
      <c r="K243" s="16" t="n"/>
    </row>
    <row r="244" ht="15" customHeight="1" s="13">
      <c r="A244" s="16" t="inlineStr">
        <is>
          <t>7219/0219</t>
        </is>
      </c>
      <c r="B244" s="16" t="inlineStr">
        <is>
          <t>62 Way MCP 1.5K Tab Hsg Blk Key A</t>
        </is>
      </c>
      <c r="C244" s="16" t="inlineStr">
        <is>
          <t>Lab Consumables</t>
        </is>
      </c>
      <c r="D244" s="16" t="inlineStr">
        <is>
          <t>WH Misc</t>
        </is>
      </c>
      <c r="E244" s="16" t="inlineStr">
        <is>
          <t>NO</t>
        </is>
      </c>
      <c r="F244" s="16" t="inlineStr">
        <is>
          <t>EMI CUPBOARD</t>
        </is>
      </c>
      <c r="G244" s="16" t="inlineStr">
        <is>
          <t>TE CONNECTIVITY</t>
        </is>
      </c>
      <c r="H244" s="16" t="n"/>
      <c r="I244" s="16" t="n">
        <v>5</v>
      </c>
      <c r="J244" s="16" t="inlineStr">
        <is>
          <t>Yes</t>
        </is>
      </c>
      <c r="K244" s="16" t="n"/>
    </row>
    <row r="245" ht="15" customHeight="1" s="13">
      <c r="A245" s="16" t="inlineStr">
        <is>
          <t>7219/0196</t>
        </is>
      </c>
      <c r="B245" s="16" t="inlineStr">
        <is>
          <t>55 Way Sealed JPT SKT Hsg</t>
        </is>
      </c>
      <c r="C245" s="16" t="inlineStr">
        <is>
          <t>Lab Consumables</t>
        </is>
      </c>
      <c r="D245" s="16" t="inlineStr">
        <is>
          <t>Wire Seal</t>
        </is>
      </c>
      <c r="E245" s="16" t="inlineStr">
        <is>
          <t>NO</t>
        </is>
      </c>
      <c r="F245" s="16" t="inlineStr">
        <is>
          <t>D1-3</t>
        </is>
      </c>
      <c r="G245" s="16" t="inlineStr">
        <is>
          <t>TE CONNECTIVITY</t>
        </is>
      </c>
      <c r="H245" s="16" t="n"/>
      <c r="I245" s="16" t="n">
        <v>10</v>
      </c>
      <c r="J245" s="16" t="inlineStr">
        <is>
          <t>Yes</t>
        </is>
      </c>
      <c r="K245" s="16" t="n"/>
    </row>
    <row r="246" ht="15" customHeight="1" s="13">
      <c r="A246" s="16" t="inlineStr">
        <is>
          <t>7201/0747</t>
        </is>
      </c>
      <c r="B246" s="16" t="inlineStr">
        <is>
          <t>1.00-2.50mm² MCON 2.8 SKT TERM Tin</t>
        </is>
      </c>
      <c r="C246" s="16" t="inlineStr">
        <is>
          <t>Lab Consumables</t>
        </is>
      </c>
      <c r="D246" s="16" t="inlineStr">
        <is>
          <t>WH Misc</t>
        </is>
      </c>
      <c r="E246" s="16" t="inlineStr">
        <is>
          <t>NO</t>
        </is>
      </c>
      <c r="F246" s="16" t="inlineStr">
        <is>
          <t>D2-1</t>
        </is>
      </c>
      <c r="G246" s="16" t="inlineStr">
        <is>
          <t>TE CONNECTIVITY</t>
        </is>
      </c>
      <c r="H246" s="16" t="n"/>
      <c r="I246" s="16" t="n">
        <v>170</v>
      </c>
      <c r="J246" s="16" t="inlineStr">
        <is>
          <t>Yes</t>
        </is>
      </c>
      <c r="K246" s="16" t="n"/>
    </row>
    <row r="247" ht="15" customHeight="1" s="13">
      <c r="A247" s="16" t="inlineStr">
        <is>
          <t>7210/0013</t>
        </is>
      </c>
      <c r="B247" s="16" t="inlineStr">
        <is>
          <t>Wire Seal JPT 2.20-3.00mm White</t>
        </is>
      </c>
      <c r="C247" s="16" t="inlineStr">
        <is>
          <t>Lab Consumables</t>
        </is>
      </c>
      <c r="D247" s="16" t="inlineStr">
        <is>
          <t>Wire Seal</t>
        </is>
      </c>
      <c r="E247" s="16" t="inlineStr">
        <is>
          <t>NO</t>
        </is>
      </c>
      <c r="F247" s="16" t="inlineStr">
        <is>
          <t>seal box</t>
        </is>
      </c>
      <c r="G247" s="16" t="inlineStr">
        <is>
          <t>TE CONNECTIVITY</t>
        </is>
      </c>
      <c r="H247" s="16" t="n"/>
      <c r="I247" s="16" t="n">
        <v>100</v>
      </c>
      <c r="J247" s="16" t="inlineStr">
        <is>
          <t>Yes</t>
        </is>
      </c>
      <c r="K247" s="16" t="n"/>
    </row>
    <row r="248" ht="15" customHeight="1" s="13">
      <c r="A248" s="16" t="inlineStr">
        <is>
          <t>7210/0049</t>
        </is>
      </c>
      <c r="B248" s="16" t="inlineStr">
        <is>
          <t>Wire Seal 1.20-1.60mm Superseal Green</t>
        </is>
      </c>
      <c r="C248" s="16" t="inlineStr">
        <is>
          <t>Lab Consumables</t>
        </is>
      </c>
      <c r="D248" s="16" t="inlineStr">
        <is>
          <t>Wire Seal</t>
        </is>
      </c>
      <c r="E248" s="16" t="inlineStr">
        <is>
          <t>NO</t>
        </is>
      </c>
      <c r="F248" s="16" t="inlineStr">
        <is>
          <t>D2-1</t>
        </is>
      </c>
      <c r="G248" s="16" t="inlineStr">
        <is>
          <t>TE CONNECTIVITY</t>
        </is>
      </c>
      <c r="H248" s="16" t="n"/>
      <c r="I248" s="16" t="n">
        <v>17</v>
      </c>
      <c r="J248" s="16" t="inlineStr">
        <is>
          <t>Yes</t>
        </is>
      </c>
      <c r="K248" s="16" t="n"/>
    </row>
    <row r="249" ht="15" customHeight="1" s="13">
      <c r="A249" s="16" t="inlineStr">
        <is>
          <t>7201/0669</t>
        </is>
      </c>
      <c r="B249" s="16" t="inlineStr">
        <is>
          <t>0.5-1.0 2.8 SSC SKT TERM</t>
        </is>
      </c>
      <c r="C249" s="16" t="inlineStr">
        <is>
          <t>Lab Consumables</t>
        </is>
      </c>
      <c r="D249" s="16" t="inlineStr">
        <is>
          <t>WH Misc</t>
        </is>
      </c>
      <c r="E249" s="16" t="inlineStr">
        <is>
          <t>NO</t>
        </is>
      </c>
      <c r="F249" s="16" t="inlineStr">
        <is>
          <t>L-7</t>
        </is>
      </c>
      <c r="G249" s="16" t="inlineStr">
        <is>
          <t>TE CONNECTIVITY</t>
        </is>
      </c>
      <c r="H249" s="16" t="n"/>
      <c r="I249" s="16" t="n">
        <v>10</v>
      </c>
      <c r="J249" s="16" t="inlineStr">
        <is>
          <t>Yes</t>
        </is>
      </c>
      <c r="K249" s="16" t="n"/>
    </row>
    <row r="250" ht="15" customHeight="1" s="13">
      <c r="A250" s="16" t="inlineStr">
        <is>
          <t>7239/0089</t>
        </is>
      </c>
      <c r="B250" s="16" t="inlineStr">
        <is>
          <t>25 Way MCP1.5/2.8K SKT HSG KEY C</t>
        </is>
      </c>
      <c r="C250" s="16" t="inlineStr">
        <is>
          <t>Lab Consumables</t>
        </is>
      </c>
      <c r="D250" s="16" t="inlineStr">
        <is>
          <t>WH Misc</t>
        </is>
      </c>
      <c r="E250" s="16" t="inlineStr">
        <is>
          <t>NO</t>
        </is>
      </c>
      <c r="F250" s="16" t="inlineStr">
        <is>
          <t>L-3</t>
        </is>
      </c>
      <c r="G250" s="16" t="inlineStr">
        <is>
          <t>TE CONNECTIVITY</t>
        </is>
      </c>
      <c r="H250" s="16" t="n"/>
      <c r="I250" s="16" t="n">
        <v>30</v>
      </c>
      <c r="J250" s="16" t="inlineStr">
        <is>
          <t>Yes</t>
        </is>
      </c>
      <c r="K250" s="16" t="n"/>
    </row>
    <row r="251" ht="15" customHeight="1" s="13">
      <c r="A251" s="16" t="inlineStr">
        <is>
          <t>7213/0031</t>
        </is>
      </c>
      <c r="B251" s="16" t="inlineStr">
        <is>
          <t>3 Way DT06 Socket Housing</t>
        </is>
      </c>
      <c r="C251" s="16" t="inlineStr">
        <is>
          <t>Lab Consumables</t>
        </is>
      </c>
      <c r="D251" s="16" t="inlineStr">
        <is>
          <t>WH Misc</t>
        </is>
      </c>
      <c r="E251" s="16" t="inlineStr">
        <is>
          <t>NO</t>
        </is>
      </c>
      <c r="F251" s="16" t="inlineStr">
        <is>
          <t>S-1</t>
        </is>
      </c>
      <c r="G251" s="16" t="inlineStr">
        <is>
          <t>TE CONNECTIVITY</t>
        </is>
      </c>
      <c r="H251" s="16" t="n"/>
      <c r="I251" s="16" t="n">
        <v>17</v>
      </c>
      <c r="J251" s="16" t="inlineStr">
        <is>
          <t>Yes</t>
        </is>
      </c>
      <c r="K251" s="16" t="n"/>
    </row>
    <row r="252" ht="15" customHeight="1" s="13">
      <c r="A252" s="16" t="inlineStr">
        <is>
          <t>7214/0016</t>
        </is>
      </c>
      <c r="B252" s="16" t="inlineStr">
        <is>
          <t>4 Way DT06 Wedge</t>
        </is>
      </c>
      <c r="C252" s="16" t="inlineStr">
        <is>
          <t>Lab Consumables</t>
        </is>
      </c>
      <c r="D252" s="16" t="inlineStr">
        <is>
          <t>WH Misc</t>
        </is>
      </c>
      <c r="E252" s="16" t="inlineStr">
        <is>
          <t>NO</t>
        </is>
      </c>
      <c r="F252" s="16" t="inlineStr">
        <is>
          <t>L-9</t>
        </is>
      </c>
      <c r="G252" s="16" t="inlineStr">
        <is>
          <t>TE CONNECTIVITY</t>
        </is>
      </c>
      <c r="H252" s="16" t="n"/>
      <c r="I252" s="16" t="n">
        <v>10</v>
      </c>
      <c r="J252" s="16" t="inlineStr">
        <is>
          <t>Yes</t>
        </is>
      </c>
      <c r="K252" s="16" t="n"/>
    </row>
    <row r="253" ht="15" customHeight="1" s="13">
      <c r="A253" s="16" t="inlineStr">
        <is>
          <t>7213/0043</t>
        </is>
      </c>
      <c r="B253" s="16" t="inlineStr">
        <is>
          <t>3 Way DT06 Wedge CAN J1939</t>
        </is>
      </c>
      <c r="C253" s="16" t="inlineStr">
        <is>
          <t>Lab Consumables</t>
        </is>
      </c>
      <c r="D253" s="16" t="inlineStr">
        <is>
          <t>WH Misc</t>
        </is>
      </c>
      <c r="E253" s="16" t="inlineStr">
        <is>
          <t>NO</t>
        </is>
      </c>
      <c r="F253" s="16" t="inlineStr">
        <is>
          <t>l-7</t>
        </is>
      </c>
      <c r="G253" s="16" t="inlineStr">
        <is>
          <t>TE CONNECTIVITY</t>
        </is>
      </c>
      <c r="H253" s="16" t="n"/>
      <c r="I253" s="16" t="n">
        <v>10</v>
      </c>
      <c r="J253" s="16" t="inlineStr">
        <is>
          <t>Yes</t>
        </is>
      </c>
      <c r="K253" s="16" t="n"/>
    </row>
    <row r="254" ht="15" customHeight="1" s="13">
      <c r="A254" s="16" t="inlineStr">
        <is>
          <t>7201/0466</t>
        </is>
      </c>
      <c r="B254" s="16" t="inlineStr">
        <is>
          <t>6.3 Fem Pos Lock 0.5-1.0</t>
        </is>
      </c>
      <c r="C254" s="16" t="inlineStr">
        <is>
          <t>Lab Consumables</t>
        </is>
      </c>
      <c r="D254" s="16" t="inlineStr">
        <is>
          <t>WH Misc</t>
        </is>
      </c>
      <c r="E254" s="16" t="inlineStr">
        <is>
          <t>NO</t>
        </is>
      </c>
      <c r="F254" s="16" t="inlineStr">
        <is>
          <t>M-5</t>
        </is>
      </c>
      <c r="G254" s="16" t="inlineStr">
        <is>
          <t>TE CONNECTIVITY</t>
        </is>
      </c>
      <c r="H254" s="16" t="n"/>
      <c r="I254" s="16" t="n">
        <v>100</v>
      </c>
      <c r="J254" s="16" t="inlineStr">
        <is>
          <t>Yes</t>
        </is>
      </c>
      <c r="K254" s="16" t="n"/>
    </row>
    <row r="255" ht="15" customHeight="1" s="13">
      <c r="A255" s="16" t="inlineStr">
        <is>
          <t>7201/0016</t>
        </is>
      </c>
      <c r="B255" s="16" t="inlineStr">
        <is>
          <t>0.50-1.00mm² Junior Timer Terminal</t>
        </is>
      </c>
      <c r="C255" s="16" t="inlineStr">
        <is>
          <t>Lab Consumables</t>
        </is>
      </c>
      <c r="D255" s="16" t="inlineStr">
        <is>
          <t>Terminal</t>
        </is>
      </c>
      <c r="E255" s="16" t="inlineStr">
        <is>
          <t>NO</t>
        </is>
      </c>
      <c r="F255" s="16" t="inlineStr">
        <is>
          <t>L-8</t>
        </is>
      </c>
      <c r="G255" s="16" t="inlineStr">
        <is>
          <t>TE CONNECTIVITY</t>
        </is>
      </c>
      <c r="H255" s="16" t="n"/>
      <c r="I255" s="16" t="n">
        <v>50</v>
      </c>
      <c r="J255" s="16" t="inlineStr">
        <is>
          <t>Yes</t>
        </is>
      </c>
      <c r="K255" s="16" t="n"/>
    </row>
    <row r="256" ht="15" customHeight="1" s="13">
      <c r="A256" s="16" t="inlineStr">
        <is>
          <t>7201/0104</t>
        </is>
      </c>
      <c r="B256" s="16" t="inlineStr">
        <is>
          <t>2.00-4.00mm² Size 12 Socket Terminal</t>
        </is>
      </c>
      <c r="C256" s="16" t="inlineStr">
        <is>
          <t>Lab Consumables</t>
        </is>
      </c>
      <c r="D256" s="16" t="inlineStr">
        <is>
          <t>Terminal</t>
        </is>
      </c>
      <c r="E256" s="16" t="inlineStr">
        <is>
          <t>NO</t>
        </is>
      </c>
      <c r="F256" s="16" t="inlineStr">
        <is>
          <t>D3-1</t>
        </is>
      </c>
      <c r="G256" s="16" t="inlineStr">
        <is>
          <t>TE CONNECTIVITY</t>
        </is>
      </c>
      <c r="H256" s="16" t="n"/>
      <c r="I256" s="16" t="n">
        <v>50</v>
      </c>
      <c r="J256" s="16" t="inlineStr">
        <is>
          <t>Yes</t>
        </is>
      </c>
      <c r="K256" s="16" t="n"/>
    </row>
    <row r="257" ht="15" customHeight="1" s="13">
      <c r="A257" s="16" t="inlineStr">
        <is>
          <t>7213/0016</t>
        </is>
      </c>
      <c r="B257" s="16" t="inlineStr">
        <is>
          <t>3 Way DT06 Wedge</t>
        </is>
      </c>
      <c r="C257" s="16" t="inlineStr">
        <is>
          <t>Lab Consumables</t>
        </is>
      </c>
      <c r="D257" s="16" t="inlineStr">
        <is>
          <t>WH Misc</t>
        </is>
      </c>
      <c r="E257" s="16" t="inlineStr">
        <is>
          <t>NO</t>
        </is>
      </c>
      <c r="F257" s="16" t="inlineStr">
        <is>
          <t>L-9</t>
        </is>
      </c>
      <c r="G257" s="16" t="inlineStr">
        <is>
          <t>TE CONNECTIVITY</t>
        </is>
      </c>
      <c r="H257" s="16" t="n"/>
      <c r="I257" s="16" t="n">
        <v>10</v>
      </c>
      <c r="J257" s="16" t="inlineStr">
        <is>
          <t>Yes</t>
        </is>
      </c>
      <c r="K257" s="16" t="n"/>
    </row>
    <row r="258" ht="15" customHeight="1" s="13">
      <c r="A258" s="16" t="inlineStr">
        <is>
          <t>7210/0088</t>
        </is>
      </c>
      <c r="B258" s="16" t="inlineStr">
        <is>
          <t>Wire Seal 1.90-2.40mm MICRO TIMER Yellow</t>
        </is>
      </c>
      <c r="C258" s="16" t="inlineStr">
        <is>
          <t>Lab Consumables</t>
        </is>
      </c>
      <c r="D258" s="16" t="inlineStr">
        <is>
          <t>Wire Seal</t>
        </is>
      </c>
      <c r="E258" s="16" t="inlineStr">
        <is>
          <t>NO</t>
        </is>
      </c>
      <c r="F258" s="16" t="inlineStr">
        <is>
          <t>seal box</t>
        </is>
      </c>
      <c r="G258" s="16" t="inlineStr">
        <is>
          <t>TE CONNECTIVITY</t>
        </is>
      </c>
      <c r="H258" s="16" t="n"/>
      <c r="I258" s="16" t="n">
        <v>10</v>
      </c>
      <c r="J258" s="16" t="inlineStr">
        <is>
          <t>Yes</t>
        </is>
      </c>
      <c r="K258" s="16" t="n"/>
    </row>
    <row r="259" ht="15" customHeight="1" s="13">
      <c r="A259" s="16" t="inlineStr">
        <is>
          <t>7201/1032</t>
        </is>
      </c>
      <c r="B259" s="16" t="inlineStr">
        <is>
          <t>0.50-1.00mm2 MCP 2.8 SKT TERM SILVER</t>
        </is>
      </c>
      <c r="C259" s="16" t="inlineStr">
        <is>
          <t>Lab Consumables</t>
        </is>
      </c>
      <c r="D259" s="16" t="inlineStr">
        <is>
          <t>WH Misc</t>
        </is>
      </c>
      <c r="E259" s="16" t="inlineStr">
        <is>
          <t>NO</t>
        </is>
      </c>
      <c r="F259" s="16" t="inlineStr">
        <is>
          <t>L-7</t>
        </is>
      </c>
      <c r="G259" s="16" t="inlineStr">
        <is>
          <t>TE CONNECTIVITY</t>
        </is>
      </c>
      <c r="H259" s="16" t="n"/>
      <c r="I259" s="16" t="n">
        <v>70</v>
      </c>
      <c r="J259" s="16" t="inlineStr">
        <is>
          <t>Yes</t>
        </is>
      </c>
      <c r="K259" s="16" t="n"/>
    </row>
    <row r="260" ht="15" customHeight="1" s="13">
      <c r="A260" s="16" t="inlineStr">
        <is>
          <t>7201/0724</t>
        </is>
      </c>
      <c r="B260" s="16" t="inlineStr">
        <is>
          <t>0.5-0.75 GET 0.64 FEM TERM TIN</t>
        </is>
      </c>
      <c r="C260" s="16" t="inlineStr">
        <is>
          <t>Lab Consumables</t>
        </is>
      </c>
      <c r="D260" s="16" t="inlineStr">
        <is>
          <t>WH Misc</t>
        </is>
      </c>
      <c r="E260" s="16" t="inlineStr">
        <is>
          <t>NO</t>
        </is>
      </c>
      <c r="F260" s="16" t="inlineStr">
        <is>
          <t>M-5</t>
        </is>
      </c>
      <c r="G260" s="16" t="inlineStr">
        <is>
          <t>TE CONNECTIVITY</t>
        </is>
      </c>
      <c r="H260" s="16" t="n"/>
      <c r="I260" s="16" t="n">
        <v>70</v>
      </c>
      <c r="J260" s="16" t="inlineStr">
        <is>
          <t>Yes</t>
        </is>
      </c>
      <c r="K260" s="16" t="n"/>
    </row>
    <row r="261" ht="15" customHeight="1" s="13">
      <c r="A261" s="16" t="inlineStr">
        <is>
          <t>7210/0330</t>
        </is>
      </c>
      <c r="B261" s="16" t="inlineStr">
        <is>
          <t>Wire Seal 1.2-1.6mm Microtimer II Red</t>
        </is>
      </c>
      <c r="C261" s="16" t="inlineStr">
        <is>
          <t>Lab Consumables</t>
        </is>
      </c>
      <c r="D261" s="16" t="inlineStr">
        <is>
          <t>Wire Seal</t>
        </is>
      </c>
      <c r="E261" s="16" t="inlineStr">
        <is>
          <t>NO</t>
        </is>
      </c>
      <c r="F261" s="16" t="inlineStr">
        <is>
          <t>seal box</t>
        </is>
      </c>
      <c r="G261" s="16" t="inlineStr">
        <is>
          <t>TE CONNECTIVITY</t>
        </is>
      </c>
      <c r="H261" s="16" t="n"/>
      <c r="I261" s="16" t="n">
        <v>10</v>
      </c>
      <c r="J261" s="16" t="inlineStr">
        <is>
          <t>Yes</t>
        </is>
      </c>
      <c r="K261" s="16" t="n"/>
    </row>
    <row r="262" ht="15" customHeight="1" s="13">
      <c r="A262" s="16" t="inlineStr">
        <is>
          <t>7204/0113</t>
        </is>
      </c>
      <c r="B262" s="16" t="inlineStr">
        <is>
          <t>0.50-1.00mm² JPT MALE TERM 2.8K</t>
        </is>
      </c>
      <c r="C262" s="16" t="inlineStr">
        <is>
          <t>Lab Consumables</t>
        </is>
      </c>
      <c r="D262" s="16" t="inlineStr">
        <is>
          <t>WH Misc</t>
        </is>
      </c>
      <c r="E262" s="16" t="inlineStr">
        <is>
          <t>NO</t>
        </is>
      </c>
      <c r="F262" s="16" t="inlineStr">
        <is>
          <t>D2-1</t>
        </is>
      </c>
      <c r="G262" s="16" t="inlineStr">
        <is>
          <t>TE CONNECTIVITY</t>
        </is>
      </c>
      <c r="H262" s="16" t="n"/>
      <c r="I262" s="16" t="n">
        <v>100</v>
      </c>
      <c r="J262" s="16" t="inlineStr">
        <is>
          <t>Yes</t>
        </is>
      </c>
      <c r="K262" s="16" t="n"/>
    </row>
    <row r="263" ht="15" customHeight="1" s="13">
      <c r="A263" s="16" t="inlineStr">
        <is>
          <t>7204/0114</t>
        </is>
      </c>
      <c r="B263" s="16" t="inlineStr">
        <is>
          <t>1.00-2.50mm² JPT MALE TERM 2.8</t>
        </is>
      </c>
      <c r="C263" s="16" t="inlineStr">
        <is>
          <t>Lab Consumables</t>
        </is>
      </c>
      <c r="D263" s="16" t="inlineStr">
        <is>
          <t>WH Misc</t>
        </is>
      </c>
      <c r="E263" s="16" t="inlineStr">
        <is>
          <t>NO</t>
        </is>
      </c>
      <c r="F263" s="16" t="inlineStr">
        <is>
          <t>L-8</t>
        </is>
      </c>
      <c r="G263" s="16" t="inlineStr">
        <is>
          <t>TE CONNECTIVITY</t>
        </is>
      </c>
      <c r="H263" s="16" t="n"/>
      <c r="I263" s="16" t="n">
        <v>70</v>
      </c>
      <c r="J263" s="16" t="inlineStr">
        <is>
          <t>Yes</t>
        </is>
      </c>
      <c r="K263" s="16" t="n"/>
    </row>
    <row r="264" ht="15" customHeight="1" s="13">
      <c r="A264" s="16" t="inlineStr">
        <is>
          <t>7201/1132</t>
        </is>
      </c>
      <c r="B264" s="16" t="inlineStr">
        <is>
          <t>0.5-0.75mm2 MCON 1.2 SKT Term</t>
        </is>
      </c>
      <c r="C264" s="16" t="inlineStr">
        <is>
          <t>Lab Consumables</t>
        </is>
      </c>
      <c r="D264" s="16" t="inlineStr">
        <is>
          <t>WH Misc</t>
        </is>
      </c>
      <c r="E264" s="16" t="inlineStr">
        <is>
          <t>NO</t>
        </is>
      </c>
      <c r="F264" s="16" t="inlineStr">
        <is>
          <t>L-6</t>
        </is>
      </c>
      <c r="G264" s="16" t="inlineStr">
        <is>
          <t>TE CONNECTIVITY</t>
        </is>
      </c>
      <c r="H264" s="16" t="n"/>
      <c r="I264" s="16" t="n">
        <v>100</v>
      </c>
      <c r="J264" s="16" t="inlineStr">
        <is>
          <t>Yes</t>
        </is>
      </c>
      <c r="K264" s="16" t="n"/>
    </row>
    <row r="265" ht="15" customHeight="1" s="13">
      <c r="A265" s="16" t="inlineStr">
        <is>
          <t>7210/0241</t>
        </is>
      </c>
      <c r="B265" s="16" t="inlineStr">
        <is>
          <t>Cavity Plug MCP 6.3 4.8K Clear</t>
        </is>
      </c>
      <c r="C265" s="16" t="inlineStr">
        <is>
          <t>Lab Consumables</t>
        </is>
      </c>
      <c r="D265" s="16" t="inlineStr">
        <is>
          <t>Cavity Plug</t>
        </is>
      </c>
      <c r="E265" s="16" t="inlineStr">
        <is>
          <t>NO</t>
        </is>
      </c>
      <c r="F265" s="16" t="inlineStr">
        <is>
          <t>seal box</t>
        </is>
      </c>
      <c r="G265" s="16" t="inlineStr">
        <is>
          <t>TE CONNECTIVITY</t>
        </is>
      </c>
      <c r="H265" s="16" t="n"/>
      <c r="I265" s="16" t="n">
        <v>10</v>
      </c>
      <c r="J265" s="16" t="inlineStr">
        <is>
          <t>Yes</t>
        </is>
      </c>
      <c r="K265" s="16" t="n"/>
    </row>
    <row r="266" ht="15" customHeight="1" s="13">
      <c r="A266" s="16" t="inlineStr">
        <is>
          <t>7201/0746</t>
        </is>
      </c>
      <c r="B266" s="16" t="inlineStr">
        <is>
          <t>0.50-1.00mm² MCON 2.8 SKT TERM Tin</t>
        </is>
      </c>
      <c r="C266" s="16" t="inlineStr">
        <is>
          <t>Lab Consumables</t>
        </is>
      </c>
      <c r="D266" s="16" t="inlineStr">
        <is>
          <t>WH Misc</t>
        </is>
      </c>
      <c r="E266" s="16" t="inlineStr">
        <is>
          <t>NO</t>
        </is>
      </c>
      <c r="F266" s="16" t="inlineStr">
        <is>
          <t>D3-2</t>
        </is>
      </c>
      <c r="G266" s="16" t="inlineStr">
        <is>
          <t>TE CONNECTIVITY</t>
        </is>
      </c>
      <c r="H266" s="16" t="n"/>
      <c r="I266" s="16" t="n">
        <v>100</v>
      </c>
      <c r="J266" s="16" t="inlineStr">
        <is>
          <t>Yes</t>
        </is>
      </c>
      <c r="K266" s="16" t="n"/>
    </row>
    <row r="267" ht="15" customHeight="1" s="13">
      <c r="A267" s="16" t="inlineStr">
        <is>
          <t>403/T6925</t>
        </is>
      </c>
      <c r="B267" s="16" t="inlineStr">
        <is>
          <t>Rubber cap</t>
        </is>
      </c>
      <c r="C267" s="16" t="inlineStr">
        <is>
          <t>Lab Consumables</t>
        </is>
      </c>
      <c r="D267" s="16" t="inlineStr">
        <is>
          <t>WH Misc</t>
        </is>
      </c>
      <c r="E267" s="16" t="inlineStr">
        <is>
          <t>NO</t>
        </is>
      </c>
      <c r="F267" s="16" t="inlineStr">
        <is>
          <t>seal box</t>
        </is>
      </c>
      <c r="G267" s="16" t="n"/>
      <c r="H267" s="16" t="n"/>
      <c r="I267" s="16" t="n">
        <v>11</v>
      </c>
      <c r="J267" s="16" t="inlineStr">
        <is>
          <t>Yes</t>
        </is>
      </c>
      <c r="K267" s="16" t="n"/>
    </row>
    <row r="268" ht="15" customHeight="1" s="13">
      <c r="A268" s="16" t="inlineStr">
        <is>
          <t>7219/0309</t>
        </is>
      </c>
      <c r="B268" s="16" t="inlineStr">
        <is>
          <t>34 Way Superseal SKT Hsg Key 2</t>
        </is>
      </c>
      <c r="C268" s="16" t="inlineStr">
        <is>
          <t>Lab Consumables</t>
        </is>
      </c>
      <c r="D268" s="16" t="inlineStr">
        <is>
          <t>Wire Seal</t>
        </is>
      </c>
      <c r="E268" s="16" t="inlineStr">
        <is>
          <t>NO</t>
        </is>
      </c>
      <c r="F268" s="16" t="inlineStr">
        <is>
          <t>D2-1</t>
        </is>
      </c>
      <c r="G268" s="16" t="inlineStr">
        <is>
          <t>TE CONNECTIVITY</t>
        </is>
      </c>
      <c r="H268" s="16" t="n"/>
      <c r="I268" s="16" t="n">
        <v>40</v>
      </c>
      <c r="J268" s="16" t="inlineStr">
        <is>
          <t>Yes</t>
        </is>
      </c>
      <c r="K268" s="16" t="n"/>
    </row>
    <row r="269" ht="15" customHeight="1" s="13">
      <c r="A269" s="16" t="inlineStr">
        <is>
          <t>7219/0075</t>
        </is>
      </c>
      <c r="B269" s="16" t="inlineStr">
        <is>
          <t>62 Way MCP1.5K Socket Housing Black</t>
        </is>
      </c>
      <c r="C269" s="16" t="inlineStr">
        <is>
          <t>Lab Consumables</t>
        </is>
      </c>
      <c r="D269" s="16" t="inlineStr">
        <is>
          <t>WH Misc</t>
        </is>
      </c>
      <c r="E269" s="16" t="inlineStr">
        <is>
          <t>NO</t>
        </is>
      </c>
      <c r="F269" s="16" t="inlineStr">
        <is>
          <t>L-16</t>
        </is>
      </c>
      <c r="G269" s="16" t="inlineStr">
        <is>
          <t>TE CONNECTIVITY</t>
        </is>
      </c>
      <c r="H269" s="16" t="n"/>
      <c r="I269" s="16" t="n">
        <v>10</v>
      </c>
      <c r="J269" s="16" t="inlineStr">
        <is>
          <t>Yes</t>
        </is>
      </c>
      <c r="K269" s="16" t="n"/>
    </row>
    <row r="270" ht="15" customHeight="1" s="13">
      <c r="A270" s="16" t="inlineStr">
        <is>
          <t>7219/0310</t>
        </is>
      </c>
      <c r="B270" s="16" t="inlineStr">
        <is>
          <t>26 Way Superseal 1.0 SKT HSG Key 3</t>
        </is>
      </c>
      <c r="C270" s="16" t="inlineStr">
        <is>
          <t>Lab Consumables</t>
        </is>
      </c>
      <c r="D270" s="16" t="inlineStr">
        <is>
          <t>Wire Seal</t>
        </is>
      </c>
      <c r="E270" s="16" t="inlineStr">
        <is>
          <t>NO</t>
        </is>
      </c>
      <c r="F270" s="16" t="inlineStr">
        <is>
          <t>L-16</t>
        </is>
      </c>
      <c r="G270" s="16" t="inlineStr">
        <is>
          <t>TE CONNECTIVITY</t>
        </is>
      </c>
      <c r="H270" s="16" t="n"/>
      <c r="I270" s="16" t="n">
        <v>43</v>
      </c>
      <c r="J270" s="16" t="inlineStr">
        <is>
          <t>Yes</t>
        </is>
      </c>
      <c r="K270" s="16" t="n"/>
    </row>
    <row r="271" ht="15" customHeight="1" s="13">
      <c r="A271" s="16" t="inlineStr">
        <is>
          <t>7231/0015</t>
        </is>
      </c>
      <c r="B271" s="16" t="inlineStr">
        <is>
          <t>1 Way Pos Lock Housing Straight Red</t>
        </is>
      </c>
      <c r="C271" s="16" t="inlineStr">
        <is>
          <t>Lab Consumables</t>
        </is>
      </c>
      <c r="D271" s="16" t="inlineStr">
        <is>
          <t>WH Misc</t>
        </is>
      </c>
      <c r="E271" s="16" t="inlineStr">
        <is>
          <t>NO</t>
        </is>
      </c>
      <c r="F271" s="16" t="inlineStr">
        <is>
          <t>S-5</t>
        </is>
      </c>
      <c r="G271" s="16" t="inlineStr">
        <is>
          <t>TE CONNECTIVITY</t>
        </is>
      </c>
      <c r="H271" s="16" t="n"/>
      <c r="I271" s="16" t="n">
        <v>20</v>
      </c>
      <c r="J271" s="16" t="inlineStr">
        <is>
          <t>Yes</t>
        </is>
      </c>
      <c r="K271" s="16" t="n"/>
    </row>
    <row r="272" ht="15" customHeight="1" s="13">
      <c r="A272" s="16" t="inlineStr">
        <is>
          <t>7212/0203</t>
        </is>
      </c>
      <c r="B272" s="16" t="inlineStr">
        <is>
          <t>2 Way DT06 SKT HSG Snap Cap</t>
        </is>
      </c>
      <c r="C272" s="16" t="inlineStr">
        <is>
          <t>Lab Consumables</t>
        </is>
      </c>
      <c r="D272" s="16" t="inlineStr">
        <is>
          <t>WH Misc</t>
        </is>
      </c>
      <c r="E272" s="16" t="inlineStr">
        <is>
          <t>NO</t>
        </is>
      </c>
      <c r="F272" s="16" t="inlineStr">
        <is>
          <t>EMI CUPBOARD</t>
        </is>
      </c>
      <c r="G272" s="16" t="inlineStr">
        <is>
          <t>TE CONNECTIVITY</t>
        </is>
      </c>
      <c r="H272" s="16" t="n"/>
      <c r="I272" s="16" t="n">
        <v>5</v>
      </c>
      <c r="J272" s="16" t="inlineStr">
        <is>
          <t>Yes</t>
        </is>
      </c>
      <c r="K272" s="16" t="n"/>
    </row>
    <row r="273" ht="15" customHeight="1" s="13">
      <c r="A273" s="16" t="inlineStr">
        <is>
          <t>7219/0271</t>
        </is>
      </c>
      <c r="B273" s="16" t="inlineStr">
        <is>
          <t>47 Way HDP bulkhead pin housing</t>
        </is>
      </c>
      <c r="C273" s="16" t="inlineStr">
        <is>
          <t>Lab Consumables</t>
        </is>
      </c>
      <c r="D273" s="16" t="inlineStr">
        <is>
          <t>WH Misc</t>
        </is>
      </c>
      <c r="E273" s="16" t="inlineStr">
        <is>
          <t>NO</t>
        </is>
      </c>
      <c r="F273" s="16" t="inlineStr">
        <is>
          <t>M-3</t>
        </is>
      </c>
      <c r="G273" s="16" t="inlineStr">
        <is>
          <t>TE CONNECTIVITY</t>
        </is>
      </c>
      <c r="H273" s="16" t="n"/>
      <c r="I273" s="16" t="n">
        <v>5</v>
      </c>
      <c r="J273" s="16" t="inlineStr">
        <is>
          <t>Yes</t>
        </is>
      </c>
      <c r="K273" s="16" t="n"/>
    </row>
    <row r="274" ht="15" customHeight="1" s="13">
      <c r="A274" s="16" t="inlineStr">
        <is>
          <t>7232/0028</t>
        </is>
      </c>
      <c r="B274" s="16" t="inlineStr">
        <is>
          <t>2 Way Pos Lock Housing T Type</t>
        </is>
      </c>
      <c r="C274" s="16" t="inlineStr">
        <is>
          <t>Lab Consumables</t>
        </is>
      </c>
      <c r="D274" s="16" t="inlineStr">
        <is>
          <t>WH Misc</t>
        </is>
      </c>
      <c r="E274" s="16" t="inlineStr">
        <is>
          <t>NO</t>
        </is>
      </c>
      <c r="F274" s="16" t="inlineStr">
        <is>
          <t>L-3</t>
        </is>
      </c>
      <c r="G274" s="16" t="inlineStr">
        <is>
          <t>TE CONNECTIVITY</t>
        </is>
      </c>
      <c r="H274" s="16" t="n"/>
      <c r="I274" s="16" t="n">
        <v>30</v>
      </c>
      <c r="J274" s="16" t="inlineStr">
        <is>
          <t>Yes</t>
        </is>
      </c>
      <c r="K274" s="16" t="n"/>
    </row>
    <row r="275" ht="15" customHeight="1" s="13">
      <c r="A275" s="16" t="inlineStr">
        <is>
          <t>7219/0403</t>
        </is>
      </c>
      <c r="B275" s="16" t="inlineStr">
        <is>
          <t>36W MTII/JPT HYBRID SEALED CONNECTOR</t>
        </is>
      </c>
      <c r="C275" s="16" t="inlineStr">
        <is>
          <t>Lab Consumables</t>
        </is>
      </c>
      <c r="D275" s="16" t="inlineStr">
        <is>
          <t>Connector</t>
        </is>
      </c>
      <c r="E275" s="16" t="inlineStr">
        <is>
          <t>NO</t>
        </is>
      </c>
      <c r="F275" s="16" t="inlineStr">
        <is>
          <t>EMC-06</t>
        </is>
      </c>
      <c r="G275" s="16" t="inlineStr">
        <is>
          <t>TE CONNECTIVITY</t>
        </is>
      </c>
      <c r="H275" s="16" t="n"/>
      <c r="I275" s="16" t="n">
        <v>10</v>
      </c>
      <c r="J275" s="16" t="inlineStr">
        <is>
          <t>Yes</t>
        </is>
      </c>
      <c r="K275" s="16" t="n"/>
    </row>
    <row r="276" ht="15" customHeight="1" s="13">
      <c r="A276" s="16" t="inlineStr">
        <is>
          <t>7216/0018</t>
        </is>
      </c>
      <c r="B276" s="16" t="inlineStr">
        <is>
          <t>6 Way DT06 Socket Housing</t>
        </is>
      </c>
      <c r="C276" s="16" t="inlineStr">
        <is>
          <t>Lab Consumables</t>
        </is>
      </c>
      <c r="D276" s="16" t="inlineStr">
        <is>
          <t>WH Misc</t>
        </is>
      </c>
      <c r="E276" s="16" t="inlineStr">
        <is>
          <t>NO</t>
        </is>
      </c>
      <c r="F276" s="16" t="inlineStr">
        <is>
          <t>EMC-06</t>
        </is>
      </c>
      <c r="G276" s="16" t="inlineStr">
        <is>
          <t>TE CONNECTIVITY</t>
        </is>
      </c>
      <c r="H276" s="16" t="n"/>
      <c r="I276" s="16" t="n">
        <v>65</v>
      </c>
      <c r="J276" s="16" t="inlineStr">
        <is>
          <t>Yes</t>
        </is>
      </c>
      <c r="K276" s="16" t="n"/>
    </row>
    <row r="277" ht="15" customHeight="1" s="13">
      <c r="A277" s="16" t="inlineStr">
        <is>
          <t>7214/0024</t>
        </is>
      </c>
      <c r="B277" s="16" t="inlineStr">
        <is>
          <t>4 Way DT04 Pin Housing</t>
        </is>
      </c>
      <c r="C277" s="16" t="inlineStr">
        <is>
          <t>Lab Consumables</t>
        </is>
      </c>
      <c r="D277" s="16" t="inlineStr">
        <is>
          <t>WH Misc</t>
        </is>
      </c>
      <c r="E277" s="16" t="inlineStr">
        <is>
          <t>NO</t>
        </is>
      </c>
      <c r="F277" s="16" t="inlineStr">
        <is>
          <t>L-2</t>
        </is>
      </c>
      <c r="G277" s="16" t="inlineStr">
        <is>
          <t>TE CONNECTIVITY</t>
        </is>
      </c>
      <c r="H277" s="16" t="n"/>
      <c r="I277" s="16" t="n">
        <v>10</v>
      </c>
      <c r="J277" s="16" t="inlineStr">
        <is>
          <t>Yes</t>
        </is>
      </c>
      <c r="K277" s="16" t="n"/>
    </row>
    <row r="278" ht="15" customHeight="1" s="13">
      <c r="A278" s="16" t="inlineStr">
        <is>
          <t>7219/0169</t>
        </is>
      </c>
      <c r="B278" s="16" t="inlineStr">
        <is>
          <t>12 WAY MCP1.5 SKT HSG KEY A</t>
        </is>
      </c>
      <c r="C278" s="16" t="inlineStr">
        <is>
          <t>Lab Consumables</t>
        </is>
      </c>
      <c r="D278" s="16" t="inlineStr">
        <is>
          <t>WH Misc</t>
        </is>
      </c>
      <c r="E278" s="16" t="inlineStr">
        <is>
          <t>NO</t>
        </is>
      </c>
      <c r="F278" s="16" t="inlineStr">
        <is>
          <t>EMC-06</t>
        </is>
      </c>
      <c r="G278" s="16" t="inlineStr">
        <is>
          <t>TE CONNECTIVITY</t>
        </is>
      </c>
      <c r="H278" s="16" t="n"/>
      <c r="I278" s="16" t="n">
        <v>30</v>
      </c>
      <c r="J278" s="16" t="inlineStr">
        <is>
          <t>Yes</t>
        </is>
      </c>
      <c r="K278" s="16" t="n"/>
    </row>
    <row r="279" ht="15" customHeight="1" s="13">
      <c r="A279" s="16" t="inlineStr">
        <is>
          <t>7219/0012</t>
        </is>
      </c>
      <c r="B279" s="16" t="inlineStr">
        <is>
          <t>12 Way DT06 Wedge</t>
        </is>
      </c>
      <c r="C279" s="16" t="inlineStr">
        <is>
          <t>Lab Consumables</t>
        </is>
      </c>
      <c r="D279" s="16" t="inlineStr">
        <is>
          <t>WH Misc</t>
        </is>
      </c>
      <c r="E279" s="16" t="inlineStr">
        <is>
          <t>NO</t>
        </is>
      </c>
      <c r="F279" s="16" t="inlineStr">
        <is>
          <t>D1-3</t>
        </is>
      </c>
      <c r="G279" s="16" t="inlineStr">
        <is>
          <t>TE CONNECTIVITY</t>
        </is>
      </c>
      <c r="H279" s="16" t="n"/>
      <c r="I279" s="16" t="n">
        <v>23</v>
      </c>
      <c r="J279" s="16" t="inlineStr">
        <is>
          <t>Yes</t>
        </is>
      </c>
      <c r="K279" s="16" t="n"/>
    </row>
    <row r="280" ht="15" customHeight="1" s="13">
      <c r="A280" s="16" t="inlineStr">
        <is>
          <t>7201/0843</t>
        </is>
      </c>
      <c r="B280" s="16" t="inlineStr">
        <is>
          <t>4.00-6.00mm² MCP6.3 4.8K fem term</t>
        </is>
      </c>
      <c r="C280" s="16" t="inlineStr">
        <is>
          <t>Lab Consumables</t>
        </is>
      </c>
      <c r="D280" s="16" t="inlineStr">
        <is>
          <t>WH Misc</t>
        </is>
      </c>
      <c r="E280" s="16" t="inlineStr">
        <is>
          <t>NO</t>
        </is>
      </c>
      <c r="F280" s="16" t="inlineStr">
        <is>
          <t>D2-1</t>
        </is>
      </c>
      <c r="G280" s="16" t="inlineStr">
        <is>
          <t>TE CONNECTIVITY</t>
        </is>
      </c>
      <c r="H280" s="16" t="n"/>
      <c r="I280" s="16" t="n">
        <v>100</v>
      </c>
      <c r="J280" s="16" t="inlineStr">
        <is>
          <t>Yes</t>
        </is>
      </c>
      <c r="K280" s="16" t="n"/>
    </row>
    <row r="281" ht="15" customHeight="1" s="13">
      <c r="A281" s="16" t="inlineStr">
        <is>
          <t>7239/0088</t>
        </is>
      </c>
      <c r="B281" s="16" t="inlineStr">
        <is>
          <t>36 Way MCP1.5K PIN HSG KEY B</t>
        </is>
      </c>
      <c r="C281" s="16" t="inlineStr">
        <is>
          <t>Lab Consumables</t>
        </is>
      </c>
      <c r="D281" s="16" t="inlineStr">
        <is>
          <t>WH Misc</t>
        </is>
      </c>
      <c r="E281" s="16" t="inlineStr">
        <is>
          <t>NO</t>
        </is>
      </c>
      <c r="F281" s="16" t="inlineStr">
        <is>
          <t>EMC-06</t>
        </is>
      </c>
      <c r="G281" s="16" t="inlineStr">
        <is>
          <t>TE CONNECTIVITY</t>
        </is>
      </c>
      <c r="H281" s="16" t="n"/>
      <c r="I281" s="16" t="n">
        <v>20</v>
      </c>
      <c r="J281" s="16" t="inlineStr">
        <is>
          <t>Yes</t>
        </is>
      </c>
      <c r="K281" s="16" t="n"/>
    </row>
    <row r="282" ht="15" customHeight="1" s="13">
      <c r="A282" s="16" t="inlineStr">
        <is>
          <t>7219/0018</t>
        </is>
      </c>
      <c r="B282" s="16" t="inlineStr">
        <is>
          <t>12 Way DTM06 Socket Housing Key A</t>
        </is>
      </c>
      <c r="C282" s="16" t="inlineStr">
        <is>
          <t>Lab Consumables</t>
        </is>
      </c>
      <c r="D282" s="16" t="inlineStr">
        <is>
          <t>WH Misc</t>
        </is>
      </c>
      <c r="E282" s="16" t="inlineStr">
        <is>
          <t>NO</t>
        </is>
      </c>
      <c r="F282" s="16" t="inlineStr">
        <is>
          <t>EMC-06</t>
        </is>
      </c>
      <c r="G282" s="16" t="inlineStr">
        <is>
          <t>TE CONNECTIVITY</t>
        </is>
      </c>
      <c r="H282" s="16" t="n"/>
      <c r="I282" s="16" t="n">
        <v>20</v>
      </c>
      <c r="J282" s="16" t="inlineStr">
        <is>
          <t>Yes</t>
        </is>
      </c>
      <c r="K282" s="16" t="n"/>
    </row>
    <row r="283" ht="15" customHeight="1" s="13">
      <c r="A283" s="16" t="inlineStr">
        <is>
          <t>7216/0060</t>
        </is>
      </c>
      <c r="B283" s="16" t="inlineStr">
        <is>
          <t>6 Way GET064 SKT HSG KEY B W/CPA (POS 1&amp;6 Blocked)</t>
        </is>
      </c>
      <c r="C283" s="16" t="inlineStr">
        <is>
          <t>Lab Consumables</t>
        </is>
      </c>
      <c r="D283" s="16" t="inlineStr">
        <is>
          <t>WH Misc</t>
        </is>
      </c>
      <c r="E283" s="16" t="inlineStr">
        <is>
          <t>NO</t>
        </is>
      </c>
      <c r="F283" s="16" t="inlineStr">
        <is>
          <t>EMC-06</t>
        </is>
      </c>
      <c r="G283" s="16" t="inlineStr">
        <is>
          <t>TE CONNECTIVITY</t>
        </is>
      </c>
      <c r="H283" s="16" t="n"/>
      <c r="I283" s="16" t="n">
        <v>10</v>
      </c>
      <c r="J283" s="16" t="inlineStr">
        <is>
          <t>Yes</t>
        </is>
      </c>
      <c r="K283" s="16" t="n"/>
    </row>
    <row r="284" ht="15" customHeight="1" s="13">
      <c r="A284" s="16" t="inlineStr">
        <is>
          <t>7210/0017</t>
        </is>
      </c>
      <c r="B284" s="16" t="inlineStr">
        <is>
          <t>Cavity Plug JPT Natural</t>
        </is>
      </c>
      <c r="C284" s="16" t="inlineStr">
        <is>
          <t>Lab Consumables</t>
        </is>
      </c>
      <c r="D284" s="16" t="inlineStr">
        <is>
          <t>Cavity Plug</t>
        </is>
      </c>
      <c r="E284" s="16" t="inlineStr">
        <is>
          <t>NO</t>
        </is>
      </c>
      <c r="F284" s="16" t="inlineStr">
        <is>
          <t>seal box</t>
        </is>
      </c>
      <c r="G284" s="16" t="inlineStr">
        <is>
          <t>TE CONNECTIVITY</t>
        </is>
      </c>
      <c r="H284" s="16" t="n"/>
      <c r="I284" s="16" t="n">
        <v>100</v>
      </c>
      <c r="J284" s="16" t="inlineStr">
        <is>
          <t>Yes</t>
        </is>
      </c>
      <c r="K284" s="16" t="n"/>
    </row>
    <row r="285" ht="15" customHeight="1" s="13">
      <c r="A285" s="16" t="inlineStr">
        <is>
          <t>P_SP_ELEC_GEN_171</t>
        </is>
      </c>
      <c r="B285" s="16" t="inlineStr">
        <is>
          <t>TVS DIODE BIDIRECTIONAL (THROUGH HOLE) 5V</t>
        </is>
      </c>
      <c r="C285" s="16" t="inlineStr">
        <is>
          <t>Lab Consumables</t>
        </is>
      </c>
      <c r="D285" s="16" t="inlineStr">
        <is>
          <t>Diode</t>
        </is>
      </c>
      <c r="E285" s="16" t="inlineStr">
        <is>
          <t>NO</t>
        </is>
      </c>
      <c r="F285" s="16" t="inlineStr">
        <is>
          <t>HANDOVER TO VASANT DATE</t>
        </is>
      </c>
      <c r="G285" s="16" t="inlineStr">
        <is>
          <t>REVINE TECHNOLOGIES</t>
        </is>
      </c>
      <c r="H285" s="16" t="n"/>
      <c r="I285" s="16" t="n">
        <v>25</v>
      </c>
      <c r="J285" s="16" t="inlineStr">
        <is>
          <t>Yes</t>
        </is>
      </c>
      <c r="K285" s="16" t="n"/>
    </row>
    <row r="286" ht="15" customHeight="1" s="13">
      <c r="A286" s="16" t="inlineStr">
        <is>
          <t>332/N1497</t>
        </is>
      </c>
      <c r="B286" s="16" t="inlineStr">
        <is>
          <t>0.50mm² Fem Term Superseal 1.0 Gold</t>
        </is>
      </c>
      <c r="C286" s="16" t="inlineStr">
        <is>
          <t>Lab Consumables</t>
        </is>
      </c>
      <c r="D286" s="16" t="inlineStr">
        <is>
          <t>Wire Seal</t>
        </is>
      </c>
      <c r="E286" s="16" t="inlineStr">
        <is>
          <t>NO</t>
        </is>
      </c>
      <c r="F286" s="16" t="inlineStr">
        <is>
          <t>L-1</t>
        </is>
      </c>
      <c r="G286" s="16" t="n"/>
      <c r="H286" s="16" t="n"/>
      <c r="I286" s="16" t="n">
        <v>300</v>
      </c>
      <c r="J286" s="16" t="inlineStr">
        <is>
          <t>Yes</t>
        </is>
      </c>
      <c r="K286" s="16" t="n"/>
    </row>
    <row r="287" ht="15" customHeight="1" s="13">
      <c r="A287" s="16" t="inlineStr">
        <is>
          <t>7239/0087</t>
        </is>
      </c>
      <c r="B287" s="16" t="inlineStr">
        <is>
          <t>9 WAY AMP MCP 1.5K SKT (P19-27)</t>
        </is>
      </c>
      <c r="C287" s="16" t="inlineStr">
        <is>
          <t>Lab Consumables</t>
        </is>
      </c>
      <c r="D287" s="16" t="inlineStr">
        <is>
          <t>WH Misc</t>
        </is>
      </c>
      <c r="E287" s="16" t="inlineStr">
        <is>
          <t>NO</t>
        </is>
      </c>
      <c r="F287" s="16" t="inlineStr">
        <is>
          <t>L-3</t>
        </is>
      </c>
      <c r="G287" s="16" t="n"/>
      <c r="H287" s="16" t="n"/>
      <c r="I287" s="16" t="n">
        <v>20</v>
      </c>
      <c r="J287" s="16" t="inlineStr">
        <is>
          <t>Yes</t>
        </is>
      </c>
      <c r="K287" s="16" t="n"/>
    </row>
    <row r="288" ht="15" customHeight="1" s="13">
      <c r="A288" s="16" t="inlineStr">
        <is>
          <t>7243/0336</t>
        </is>
      </c>
      <c r="B288" s="16" t="inlineStr">
        <is>
          <t>55 WAY JPT HSG COVER</t>
        </is>
      </c>
      <c r="C288" s="16" t="inlineStr">
        <is>
          <t>Lab Consumables</t>
        </is>
      </c>
      <c r="D288" s="16" t="inlineStr">
        <is>
          <t>WH Misc</t>
        </is>
      </c>
      <c r="E288" s="16" t="inlineStr">
        <is>
          <t>NO</t>
        </is>
      </c>
      <c r="F288" s="16" t="n"/>
      <c r="G288" s="16" t="n"/>
      <c r="H288" s="16" t="n"/>
      <c r="I288" s="16" t="n">
        <v>20</v>
      </c>
      <c r="J288" s="16" t="inlineStr">
        <is>
          <t>Yes</t>
        </is>
      </c>
      <c r="K288" s="16" t="n"/>
    </row>
    <row r="289" ht="15" customHeight="1" s="13">
      <c r="A289" s="16" t="inlineStr">
        <is>
          <t>7219/0404</t>
        </is>
      </c>
      <c r="B289" s="16" t="inlineStr">
        <is>
          <t>36W MTII/JPT HYBRID SEALED CONNECTOR</t>
        </is>
      </c>
      <c r="C289" s="16" t="inlineStr">
        <is>
          <t>Lab Consumables</t>
        </is>
      </c>
      <c r="D289" s="16" t="inlineStr">
        <is>
          <t>Connector</t>
        </is>
      </c>
      <c r="E289" s="16" t="inlineStr">
        <is>
          <t>NO</t>
        </is>
      </c>
      <c r="F289" s="16" t="inlineStr">
        <is>
          <t>L-9</t>
        </is>
      </c>
      <c r="G289" s="16" t="n"/>
      <c r="H289" s="16" t="n"/>
      <c r="I289" s="16" t="n">
        <v>30</v>
      </c>
      <c r="J289" s="16" t="inlineStr">
        <is>
          <t>Yes</t>
        </is>
      </c>
      <c r="K289" s="16" t="n"/>
    </row>
    <row r="290" ht="15" customHeight="1" s="13">
      <c r="A290" s="16" t="inlineStr">
        <is>
          <t>332/T8904</t>
        </is>
      </c>
      <c r="B290" s="16" t="inlineStr">
        <is>
          <t>Wire Seal 1.2-2.1mm MQS JPT Blue</t>
        </is>
      </c>
      <c r="C290" s="16" t="inlineStr">
        <is>
          <t>Lab Consumables</t>
        </is>
      </c>
      <c r="D290" s="16" t="inlineStr">
        <is>
          <t>Wire Seal</t>
        </is>
      </c>
      <c r="E290" s="16" t="inlineStr">
        <is>
          <t>NO</t>
        </is>
      </c>
      <c r="F290" s="16" t="inlineStr">
        <is>
          <t>seal box</t>
        </is>
      </c>
      <c r="G290" s="16" t="n"/>
      <c r="H290" s="16" t="n"/>
      <c r="I290" s="16" t="n">
        <v>10</v>
      </c>
      <c r="J290" s="16" t="inlineStr">
        <is>
          <t>Yes</t>
        </is>
      </c>
      <c r="K290" s="16" t="n"/>
    </row>
    <row r="291" ht="15" customHeight="1" s="13">
      <c r="A291" s="16" t="inlineStr">
        <is>
          <t>332/T4414</t>
        </is>
      </c>
      <c r="B291" s="16" t="inlineStr">
        <is>
          <t>0.75-1.25mm² Fem Term Superseal 1.0 Gold</t>
        </is>
      </c>
      <c r="C291" s="16" t="inlineStr">
        <is>
          <t>Lab Consumables</t>
        </is>
      </c>
      <c r="D291" s="16" t="inlineStr">
        <is>
          <t>Wire Seal</t>
        </is>
      </c>
      <c r="E291" s="16" t="inlineStr">
        <is>
          <t>NO</t>
        </is>
      </c>
      <c r="F291" s="16" t="inlineStr">
        <is>
          <t>D2-1</t>
        </is>
      </c>
      <c r="G291" s="16" t="inlineStr">
        <is>
          <t>TE CONNECTIVITY</t>
        </is>
      </c>
      <c r="H291" s="16" t="n"/>
      <c r="I291" s="16" t="n">
        <v>135</v>
      </c>
      <c r="J291" s="16" t="inlineStr">
        <is>
          <t>Yes</t>
        </is>
      </c>
      <c r="K291" s="16" t="n"/>
    </row>
    <row r="292" ht="15" customHeight="1" s="13">
      <c r="A292" s="16" t="inlineStr">
        <is>
          <t>7237/0016</t>
        </is>
      </c>
      <c r="B292" s="16" t="inlineStr">
        <is>
          <t>7 WAY MCP 2.8K SKT INSERT</t>
        </is>
      </c>
      <c r="C292" s="16" t="inlineStr">
        <is>
          <t>Lab Consumables</t>
        </is>
      </c>
      <c r="D292" s="16" t="inlineStr">
        <is>
          <t>WH Misc</t>
        </is>
      </c>
      <c r="E292" s="16" t="inlineStr">
        <is>
          <t>NO</t>
        </is>
      </c>
      <c r="F292" s="16" t="inlineStr">
        <is>
          <t>L-3</t>
        </is>
      </c>
      <c r="G292" s="16" t="n"/>
      <c r="H292" s="16" t="n"/>
      <c r="I292" s="16" t="n">
        <v>20</v>
      </c>
      <c r="J292" s="16" t="inlineStr">
        <is>
          <t>Yes</t>
        </is>
      </c>
      <c r="K292" s="16" t="n"/>
    </row>
    <row r="293" ht="15" customHeight="1" s="13">
      <c r="A293" s="16" t="inlineStr">
        <is>
          <t>7243/0982</t>
        </is>
      </c>
      <c r="B293" s="16" t="inlineStr">
        <is>
          <t>2W 090 MLC TYPE-3 FIR TREE CLIP</t>
        </is>
      </c>
      <c r="C293" s="16" t="inlineStr">
        <is>
          <t>Lab Consumables</t>
        </is>
      </c>
      <c r="D293" s="16" t="inlineStr">
        <is>
          <t>Clips/Straps</t>
        </is>
      </c>
      <c r="E293" s="16" t="inlineStr">
        <is>
          <t>NO</t>
        </is>
      </c>
      <c r="F293" s="16" t="inlineStr">
        <is>
          <t>L-3</t>
        </is>
      </c>
      <c r="G293" s="16" t="n"/>
      <c r="H293" s="16" t="n"/>
      <c r="I293" s="16" t="n">
        <v>20</v>
      </c>
      <c r="J293" s="16" t="inlineStr">
        <is>
          <t>Yes</t>
        </is>
      </c>
      <c r="K293" s="16" t="n"/>
    </row>
    <row r="294" ht="15" customHeight="1" s="13">
      <c r="A294" s="16" t="inlineStr">
        <is>
          <t>7243/0351</t>
        </is>
      </c>
      <c r="B294" s="16" t="inlineStr">
        <is>
          <t>MCP Secondary Lock for 62 Way</t>
        </is>
      </c>
      <c r="C294" s="16" t="inlineStr">
        <is>
          <t>Lab Consumables</t>
        </is>
      </c>
      <c r="D294" s="16" t="inlineStr">
        <is>
          <t>WH Misc</t>
        </is>
      </c>
      <c r="E294" s="16" t="inlineStr">
        <is>
          <t>NO</t>
        </is>
      </c>
      <c r="F294" s="16" t="n"/>
      <c r="G294" s="16" t="n"/>
      <c r="H294" s="16" t="n"/>
      <c r="I294" s="16" t="n">
        <v>10</v>
      </c>
      <c r="J294" s="16" t="inlineStr">
        <is>
          <t>Yes</t>
        </is>
      </c>
      <c r="K294" s="16" t="n"/>
    </row>
    <row r="295" ht="15" customHeight="1" s="13">
      <c r="A295" s="16" t="inlineStr">
        <is>
          <t>7239/0085</t>
        </is>
      </c>
      <c r="B295" s="16" t="inlineStr">
        <is>
          <t>18 WAY AMP MCP 1.5K SKT HSG (P1-18)</t>
        </is>
      </c>
      <c r="C295" s="16" t="inlineStr">
        <is>
          <t>Lab Consumables</t>
        </is>
      </c>
      <c r="D295" s="16" t="inlineStr">
        <is>
          <t>WH Misc</t>
        </is>
      </c>
      <c r="E295" s="16" t="inlineStr">
        <is>
          <t>NO</t>
        </is>
      </c>
      <c r="F295" s="16" t="inlineStr">
        <is>
          <t>L-3</t>
        </is>
      </c>
      <c r="G295" s="16" t="n"/>
      <c r="H295" s="16" t="n"/>
      <c r="I295" s="16" t="n">
        <v>20</v>
      </c>
      <c r="J295" s="16" t="inlineStr">
        <is>
          <t>Yes</t>
        </is>
      </c>
      <c r="K295" s="16" t="n"/>
    </row>
    <row r="296" ht="15" customHeight="1" s="13">
      <c r="A296" s="16" t="inlineStr">
        <is>
          <t>332/V7989</t>
        </is>
      </c>
      <c r="B296" s="16" t="inlineStr">
        <is>
          <t>0.50-0.75mm² MQS FEM TERMINAL</t>
        </is>
      </c>
      <c r="C296" s="16" t="inlineStr">
        <is>
          <t>Lab Consumables</t>
        </is>
      </c>
      <c r="D296" s="16" t="inlineStr">
        <is>
          <t>Terminal</t>
        </is>
      </c>
      <c r="E296" s="16" t="inlineStr">
        <is>
          <t>NO</t>
        </is>
      </c>
      <c r="F296" s="16" t="n"/>
      <c r="G296" s="16" t="n"/>
      <c r="H296" s="16" t="n"/>
      <c r="I296" s="16" t="n">
        <v>100</v>
      </c>
      <c r="J296" s="16" t="inlineStr">
        <is>
          <t>Yes</t>
        </is>
      </c>
      <c r="K296" s="16" t="n"/>
    </row>
    <row r="297" ht="15" customHeight="1" s="13">
      <c r="A297" s="16" t="inlineStr">
        <is>
          <t>7243/0462</t>
        </is>
      </c>
      <c r="B297" s="16" t="inlineStr">
        <is>
          <t>DT06-2S Dust Cap With Fixing Point</t>
        </is>
      </c>
      <c r="C297" s="16" t="inlineStr">
        <is>
          <t>Lab Consumables</t>
        </is>
      </c>
      <c r="D297" s="16" t="inlineStr">
        <is>
          <t>WH Misc</t>
        </is>
      </c>
      <c r="E297" s="16" t="inlineStr">
        <is>
          <t>NO</t>
        </is>
      </c>
      <c r="F297" s="16" t="n"/>
      <c r="G297" s="16" t="n"/>
      <c r="H297" s="16" t="n"/>
      <c r="I297" s="16" t="n">
        <v>5</v>
      </c>
      <c r="J297" s="16" t="inlineStr">
        <is>
          <t>Yes</t>
        </is>
      </c>
      <c r="K297" s="16" t="n"/>
    </row>
    <row r="298" ht="15" customHeight="1" s="13">
      <c r="A298" s="16" t="inlineStr">
        <is>
          <t>7213/0006</t>
        </is>
      </c>
      <c r="B298" s="16" t="inlineStr">
        <is>
          <t>3 Way HW090 Pin Housing</t>
        </is>
      </c>
      <c r="C298" s="16" t="inlineStr">
        <is>
          <t>Lab Consumables</t>
        </is>
      </c>
      <c r="D298" s="16" t="inlineStr">
        <is>
          <t>WH Misc</t>
        </is>
      </c>
      <c r="E298" s="16" t="inlineStr">
        <is>
          <t>NO</t>
        </is>
      </c>
      <c r="F298" s="16" t="inlineStr">
        <is>
          <t>L-2</t>
        </is>
      </c>
      <c r="G298" s="16" t="n"/>
      <c r="H298" s="16" t="n"/>
      <c r="I298" s="16" t="n">
        <v>12</v>
      </c>
      <c r="J298" s="16" t="inlineStr">
        <is>
          <t>Yes</t>
        </is>
      </c>
      <c r="K298" s="16" t="n"/>
    </row>
    <row r="299" ht="15" customHeight="1" s="13">
      <c r="A299" s="16" t="inlineStr">
        <is>
          <t>7214/0015</t>
        </is>
      </c>
      <c r="B299" s="16" t="inlineStr">
        <is>
          <t>SUPERSEDED BY 7214/0025 4 WAY DT FEM HSG</t>
        </is>
      </c>
      <c r="C299" s="16" t="inlineStr">
        <is>
          <t>Lab Consumables</t>
        </is>
      </c>
      <c r="D299" s="16" t="inlineStr">
        <is>
          <t>WH Misc</t>
        </is>
      </c>
      <c r="E299" s="16" t="inlineStr">
        <is>
          <t>NO</t>
        </is>
      </c>
      <c r="F299" s="16" t="n"/>
      <c r="G299" s="16" t="n"/>
      <c r="H299" s="16" t="n"/>
      <c r="I299" s="16" t="n">
        <v>20</v>
      </c>
      <c r="J299" s="16" t="inlineStr">
        <is>
          <t>Yes</t>
        </is>
      </c>
      <c r="K299" s="16" t="n"/>
    </row>
    <row r="300" ht="15" customHeight="1" s="13">
      <c r="A300" s="16" t="inlineStr">
        <is>
          <t>7213/0005</t>
        </is>
      </c>
      <c r="B300" s="16" t="inlineStr">
        <is>
          <t>3 Way HW090 Socket Housing</t>
        </is>
      </c>
      <c r="C300" s="16" t="inlineStr">
        <is>
          <t>Lab Consumables</t>
        </is>
      </c>
      <c r="D300" s="16" t="inlineStr">
        <is>
          <t>WH Misc</t>
        </is>
      </c>
      <c r="E300" s="16" t="inlineStr">
        <is>
          <t>NO</t>
        </is>
      </c>
      <c r="F300" s="16" t="inlineStr">
        <is>
          <t>L-2</t>
        </is>
      </c>
      <c r="G300" s="16" t="n"/>
      <c r="H300" s="16" t="n"/>
      <c r="I300" s="16" t="n">
        <v>12</v>
      </c>
      <c r="J300" s="16" t="inlineStr">
        <is>
          <t>Yes</t>
        </is>
      </c>
      <c r="K300" s="16" t="n"/>
    </row>
    <row r="301" ht="15" customHeight="1" s="13">
      <c r="A301" s="16" t="inlineStr">
        <is>
          <t>7216/0015</t>
        </is>
      </c>
      <c r="B301" s="16" t="inlineStr">
        <is>
          <t>SUPERSEDED BY 7218/0016 6 WAY DT FEM HSG</t>
        </is>
      </c>
      <c r="C301" s="16" t="inlineStr">
        <is>
          <t>Lab Consumables</t>
        </is>
      </c>
      <c r="D301" s="16" t="inlineStr">
        <is>
          <t>WH Misc</t>
        </is>
      </c>
      <c r="E301" s="16" t="inlineStr">
        <is>
          <t>NO</t>
        </is>
      </c>
      <c r="F301" s="16" t="n"/>
      <c r="G301" s="16" t="n"/>
      <c r="H301" s="16" t="n"/>
      <c r="I301" s="16" t="n">
        <v>12</v>
      </c>
      <c r="J301" s="16" t="inlineStr">
        <is>
          <t>Yes</t>
        </is>
      </c>
      <c r="K301" s="16" t="n"/>
    </row>
    <row r="302" ht="15" customHeight="1" s="13">
      <c r="A302" s="16" t="inlineStr">
        <is>
          <t>7212/0004</t>
        </is>
      </c>
      <c r="B302" s="16" t="inlineStr">
        <is>
          <t>2 Way HW090 Pin Retainer</t>
        </is>
      </c>
      <c r="C302" s="16" t="inlineStr">
        <is>
          <t>Lab Consumables</t>
        </is>
      </c>
      <c r="D302" s="16" t="inlineStr">
        <is>
          <t>WH Misc</t>
        </is>
      </c>
      <c r="E302" s="16" t="inlineStr">
        <is>
          <t>NO</t>
        </is>
      </c>
      <c r="F302" s="16" t="inlineStr">
        <is>
          <t>L-1</t>
        </is>
      </c>
      <c r="G302" s="16" t="n"/>
      <c r="H302" s="16" t="n"/>
      <c r="I302" s="16" t="n">
        <v>100</v>
      </c>
      <c r="J302" s="16" t="inlineStr">
        <is>
          <t>Yes</t>
        </is>
      </c>
      <c r="K302" s="16" t="n"/>
    </row>
    <row r="303" ht="15" customHeight="1" s="13">
      <c r="A303" s="16" t="inlineStr">
        <is>
          <t>7216/0013</t>
        </is>
      </c>
      <c r="B303" s="16" t="inlineStr">
        <is>
          <t>SUPERSEDED BY 7216/0017 6 WAY DT MALE HSG</t>
        </is>
      </c>
      <c r="C303" s="16" t="inlineStr">
        <is>
          <t>Lab Consumables</t>
        </is>
      </c>
      <c r="D303" s="16" t="inlineStr">
        <is>
          <t>WH Misc</t>
        </is>
      </c>
      <c r="E303" s="16" t="inlineStr">
        <is>
          <t>NO</t>
        </is>
      </c>
      <c r="F303" s="16" t="n"/>
      <c r="G303" s="16" t="n"/>
      <c r="H303" s="16" t="n"/>
      <c r="I303" s="16" t="n">
        <v>20</v>
      </c>
      <c r="J303" s="16" t="inlineStr">
        <is>
          <t>Yes</t>
        </is>
      </c>
      <c r="K303" s="16" t="n"/>
    </row>
    <row r="304" ht="15" customHeight="1" s="13">
      <c r="A304" s="16" t="inlineStr">
        <is>
          <t>7216/0004</t>
        </is>
      </c>
      <c r="B304" s="16" t="inlineStr">
        <is>
          <t>6 Way HW090 Pin Retainer</t>
        </is>
      </c>
      <c r="C304" s="16" t="inlineStr">
        <is>
          <t>Lab Consumables</t>
        </is>
      </c>
      <c r="D304" s="16" t="inlineStr">
        <is>
          <t>WH Misc</t>
        </is>
      </c>
      <c r="E304" s="16" t="inlineStr">
        <is>
          <t>NO</t>
        </is>
      </c>
      <c r="F304" s="16" t="inlineStr">
        <is>
          <t>L-2</t>
        </is>
      </c>
      <c r="G304" s="16" t="n"/>
      <c r="H304" s="16" t="n"/>
      <c r="I304" s="16" t="n">
        <v>12</v>
      </c>
      <c r="J304" s="16" t="inlineStr">
        <is>
          <t>Yes</t>
        </is>
      </c>
      <c r="K304" s="16" t="n"/>
    </row>
    <row r="305" ht="15" customHeight="1" s="13">
      <c r="A305" s="16" t="inlineStr">
        <is>
          <t>7210/0095</t>
        </is>
      </c>
      <c r="B305" s="16" t="inlineStr">
        <is>
          <t>Wire Seal 1.20-1.70mm HW090 Grey</t>
        </is>
      </c>
      <c r="C305" s="16" t="inlineStr">
        <is>
          <t>Lab Consumables</t>
        </is>
      </c>
      <c r="D305" s="16" t="inlineStr">
        <is>
          <t>Wire Seal</t>
        </is>
      </c>
      <c r="E305" s="16" t="inlineStr">
        <is>
          <t>NO</t>
        </is>
      </c>
      <c r="F305" s="16" t="inlineStr">
        <is>
          <t>seal box</t>
        </is>
      </c>
      <c r="G305" s="16" t="n"/>
      <c r="H305" s="16" t="n"/>
      <c r="I305" s="16" t="n">
        <v>600</v>
      </c>
      <c r="J305" s="16" t="inlineStr">
        <is>
          <t>Yes</t>
        </is>
      </c>
      <c r="K305" s="16" t="n"/>
    </row>
    <row r="306" ht="15" customHeight="1" s="13">
      <c r="A306" s="16" t="inlineStr">
        <is>
          <t>7214/0004</t>
        </is>
      </c>
      <c r="B306" s="16" t="inlineStr">
        <is>
          <t>4 Way HW090 Pin Retainer</t>
        </is>
      </c>
      <c r="C306" s="16" t="inlineStr">
        <is>
          <t>Lab Consumables</t>
        </is>
      </c>
      <c r="D306" s="16" t="inlineStr">
        <is>
          <t>WH Misc</t>
        </is>
      </c>
      <c r="E306" s="16" t="inlineStr">
        <is>
          <t>NO</t>
        </is>
      </c>
      <c r="F306" s="16" t="inlineStr">
        <is>
          <t>L-1</t>
        </is>
      </c>
      <c r="G306" s="16" t="n"/>
      <c r="H306" s="16" t="n"/>
      <c r="I306" s="16" t="n">
        <v>12</v>
      </c>
      <c r="J306" s="16" t="inlineStr">
        <is>
          <t>Yes</t>
        </is>
      </c>
      <c r="K306" s="16" t="n"/>
    </row>
    <row r="307" ht="15" customHeight="1" s="13">
      <c r="A307" s="16" t="inlineStr">
        <is>
          <t>7212/0030</t>
        </is>
      </c>
      <c r="B307" s="16" t="inlineStr">
        <is>
          <t>2 WAY DT06 SKT HSG BLACK ENDCAP N-SEAL</t>
        </is>
      </c>
      <c r="C307" s="16" t="inlineStr">
        <is>
          <t>Lab Consumables</t>
        </is>
      </c>
      <c r="D307" s="16" t="inlineStr">
        <is>
          <t>Wire Seal</t>
        </is>
      </c>
      <c r="E307" s="16" t="inlineStr">
        <is>
          <t>NO</t>
        </is>
      </c>
      <c r="F307" s="16" t="inlineStr">
        <is>
          <t>L-2</t>
        </is>
      </c>
      <c r="G307" s="16" t="n"/>
      <c r="H307" s="16" t="n"/>
      <c r="I307" s="16" t="n">
        <v>12</v>
      </c>
      <c r="J307" s="16" t="inlineStr">
        <is>
          <t>Yes</t>
        </is>
      </c>
      <c r="K307" s="16" t="n"/>
    </row>
    <row r="308" ht="15" customHeight="1" s="13">
      <c r="A308" s="16" t="inlineStr">
        <is>
          <t>7212/0029</t>
        </is>
      </c>
      <c r="B308" s="16" t="inlineStr">
        <is>
          <t>2 Way DT04 Wedge</t>
        </is>
      </c>
      <c r="C308" s="16" t="inlineStr">
        <is>
          <t>Lab Consumables</t>
        </is>
      </c>
      <c r="D308" s="16" t="inlineStr">
        <is>
          <t>WH Misc</t>
        </is>
      </c>
      <c r="E308" s="16" t="inlineStr">
        <is>
          <t>NO</t>
        </is>
      </c>
      <c r="F308" s="16" t="n"/>
      <c r="G308" s="16" t="n"/>
      <c r="H308" s="16" t="n"/>
      <c r="I308" s="16" t="n">
        <v>13</v>
      </c>
      <c r="J308" s="16" t="inlineStr">
        <is>
          <t>Yes</t>
        </is>
      </c>
      <c r="K308" s="16" t="n"/>
    </row>
    <row r="309" ht="15" customHeight="1" s="13">
      <c r="A309" s="16" t="inlineStr">
        <is>
          <t>332/T4969</t>
        </is>
      </c>
      <c r="B309" s="16" t="inlineStr">
        <is>
          <t>Cavity Plug Superseal 1.0 White</t>
        </is>
      </c>
      <c r="C309" s="16" t="inlineStr">
        <is>
          <t>Lab Consumables</t>
        </is>
      </c>
      <c r="D309" s="16" t="inlineStr">
        <is>
          <t>Wire Seal</t>
        </is>
      </c>
      <c r="E309" s="16" t="inlineStr">
        <is>
          <t>NO</t>
        </is>
      </c>
      <c r="F309" s="16" t="inlineStr">
        <is>
          <t>seal box</t>
        </is>
      </c>
      <c r="G309" s="16" t="n"/>
      <c r="H309" s="16" t="n"/>
      <c r="I309" s="16" t="n">
        <v>100</v>
      </c>
      <c r="J309" s="16" t="inlineStr">
        <is>
          <t>Yes</t>
        </is>
      </c>
      <c r="K309" s="16" t="n"/>
    </row>
    <row r="310" ht="15" customHeight="1" s="13">
      <c r="A310" s="16" t="inlineStr">
        <is>
          <t>7213/0007</t>
        </is>
      </c>
      <c r="B310" s="16" t="inlineStr">
        <is>
          <t>3 Way HW090 Socket Retainer</t>
        </is>
      </c>
      <c r="C310" s="16" t="inlineStr">
        <is>
          <t>Lab Consumables</t>
        </is>
      </c>
      <c r="D310" s="16" t="inlineStr">
        <is>
          <t>WH Misc</t>
        </is>
      </c>
      <c r="E310" s="16" t="inlineStr">
        <is>
          <t>NO</t>
        </is>
      </c>
      <c r="F310" s="16" t="inlineStr">
        <is>
          <t>L-2</t>
        </is>
      </c>
      <c r="G310" s="16" t="n"/>
      <c r="H310" s="16" t="n"/>
      <c r="I310" s="16" t="n">
        <v>12</v>
      </c>
      <c r="J310" s="16" t="inlineStr">
        <is>
          <t>Yes</t>
        </is>
      </c>
      <c r="K310" s="16" t="n"/>
    </row>
    <row r="311" ht="15" customHeight="1" s="13">
      <c r="A311" s="16" t="inlineStr">
        <is>
          <t>701/E0033</t>
        </is>
      </c>
      <c r="B311" s="16" t="inlineStr">
        <is>
          <t>Carling Switch</t>
        </is>
      </c>
      <c r="C311" s="16" t="inlineStr">
        <is>
          <t>Lab Consumables</t>
        </is>
      </c>
      <c r="D311" s="16" t="inlineStr">
        <is>
          <t>WH Misc</t>
        </is>
      </c>
      <c r="E311" s="16" t="inlineStr">
        <is>
          <t>NO</t>
        </is>
      </c>
      <c r="F311" s="16" t="inlineStr">
        <is>
          <t>D2-2</t>
        </is>
      </c>
      <c r="G311" s="16" t="n"/>
      <c r="H311" s="16" t="n"/>
      <c r="I311" s="16" t="n">
        <v>2</v>
      </c>
      <c r="J311" s="16" t="inlineStr">
        <is>
          <t>Yes</t>
        </is>
      </c>
      <c r="K311" s="16" t="n"/>
    </row>
    <row r="312" ht="15" customHeight="1" s="13">
      <c r="A312" s="16" t="inlineStr">
        <is>
          <t>778-6714</t>
        </is>
      </c>
      <c r="B312" s="16" t="n"/>
      <c r="C312" s="16" t="inlineStr">
        <is>
          <t>Lab Consumables</t>
        </is>
      </c>
      <c r="D312" s="16" t="inlineStr">
        <is>
          <t>WH Misc</t>
        </is>
      </c>
      <c r="E312" s="16" t="inlineStr">
        <is>
          <t>NO</t>
        </is>
      </c>
      <c r="F312" s="16" t="n"/>
      <c r="G312" s="16" t="n"/>
      <c r="H312" s="16" t="n"/>
      <c r="I312" s="16" t="n">
        <v>100</v>
      </c>
      <c r="J312" s="16" t="inlineStr">
        <is>
          <t>Yes</t>
        </is>
      </c>
      <c r="K312" s="16" t="n"/>
    </row>
    <row r="313" ht="15" customHeight="1" s="13">
      <c r="A313" s="16" t="inlineStr">
        <is>
          <t>701/4887</t>
        </is>
      </c>
      <c r="B313" s="16" t="n"/>
      <c r="C313" s="16" t="inlineStr">
        <is>
          <t>Lab Consumables</t>
        </is>
      </c>
      <c r="D313" s="16" t="inlineStr">
        <is>
          <t>WH Misc</t>
        </is>
      </c>
      <c r="E313" s="16" t="inlineStr">
        <is>
          <t>NO</t>
        </is>
      </c>
      <c r="F313" s="16" t="n"/>
      <c r="G313" s="16" t="n"/>
      <c r="H313" s="16" t="n"/>
      <c r="I313" s="16" t="n">
        <v>4</v>
      </c>
      <c r="J313" s="16" t="inlineStr">
        <is>
          <t>Yes</t>
        </is>
      </c>
      <c r="K313" s="16" t="n"/>
    </row>
    <row r="314" ht="15" customHeight="1" s="13">
      <c r="A314" s="16" t="inlineStr">
        <is>
          <t>701/80265</t>
        </is>
      </c>
      <c r="B314" s="16" t="n"/>
      <c r="C314" s="16" t="inlineStr">
        <is>
          <t>Lab Consumables</t>
        </is>
      </c>
      <c r="D314" s="16" t="inlineStr">
        <is>
          <t>WH Misc</t>
        </is>
      </c>
      <c r="E314" s="16" t="inlineStr">
        <is>
          <t>NO</t>
        </is>
      </c>
      <c r="F314" s="16" t="inlineStr">
        <is>
          <t>D2-2</t>
        </is>
      </c>
      <c r="G314" s="16" t="n"/>
      <c r="H314" s="16" t="n"/>
      <c r="I314" s="16" t="n">
        <v>6</v>
      </c>
      <c r="J314" s="16" t="inlineStr">
        <is>
          <t>Yes</t>
        </is>
      </c>
      <c r="K314" s="16" t="n"/>
    </row>
    <row r="315" ht="15" customHeight="1" s="13">
      <c r="A315" s="16" t="inlineStr">
        <is>
          <t>701/E0030</t>
        </is>
      </c>
      <c r="B315" s="16" t="n"/>
      <c r="C315" s="16" t="inlineStr">
        <is>
          <t>Lab Consumables</t>
        </is>
      </c>
      <c r="D315" s="16" t="inlineStr">
        <is>
          <t>WH Misc</t>
        </is>
      </c>
      <c r="E315" s="16" t="inlineStr">
        <is>
          <t>NO</t>
        </is>
      </c>
      <c r="F315" s="16" t="n"/>
      <c r="G315" s="16" t="n"/>
      <c r="H315" s="16" t="n"/>
      <c r="I315" s="16" t="n">
        <v>4</v>
      </c>
      <c r="J315" s="16" t="inlineStr">
        <is>
          <t>Yes</t>
        </is>
      </c>
      <c r="K315" s="16" t="n"/>
    </row>
    <row r="316" ht="15" customHeight="1" s="13">
      <c r="A316" s="16" t="inlineStr">
        <is>
          <t>701/L4880</t>
        </is>
      </c>
      <c r="B316" s="16" t="n"/>
      <c r="C316" s="16" t="inlineStr">
        <is>
          <t>Lab Consumables</t>
        </is>
      </c>
      <c r="D316" s="16" t="inlineStr">
        <is>
          <t>WH Misc</t>
        </is>
      </c>
      <c r="E316" s="16" t="inlineStr">
        <is>
          <t>NO</t>
        </is>
      </c>
      <c r="F316" s="16" t="n"/>
      <c r="G316" s="16" t="n"/>
      <c r="H316" s="16" t="n"/>
      <c r="I316" s="16" t="n">
        <v>2</v>
      </c>
      <c r="J316" s="16" t="inlineStr">
        <is>
          <t>Yes</t>
        </is>
      </c>
      <c r="K316" s="16" t="n"/>
    </row>
    <row r="317" ht="15" customHeight="1" s="13">
      <c r="A317" s="16" t="inlineStr">
        <is>
          <t>7212/0204</t>
        </is>
      </c>
      <c r="B317" s="16" t="inlineStr">
        <is>
          <t>2 Way DT04 Pin HSG Snap Cap</t>
        </is>
      </c>
      <c r="C317" s="16" t="inlineStr">
        <is>
          <t>Lab Consumables</t>
        </is>
      </c>
      <c r="D317" s="16" t="inlineStr">
        <is>
          <t>WH Misc</t>
        </is>
      </c>
      <c r="E317" s="16" t="inlineStr">
        <is>
          <t>NO</t>
        </is>
      </c>
      <c r="F317" s="16" t="inlineStr">
        <is>
          <t>D1-3</t>
        </is>
      </c>
      <c r="G317" s="16" t="n"/>
      <c r="H317" s="16" t="n"/>
      <c r="I317" s="16" t="n">
        <v>5</v>
      </c>
      <c r="J317" s="16" t="inlineStr">
        <is>
          <t>Yes</t>
        </is>
      </c>
      <c r="K317" s="16" t="n"/>
    </row>
    <row r="318" ht="15" customHeight="1" s="13">
      <c r="A318" s="16" t="inlineStr">
        <is>
          <t>7232/0023</t>
        </is>
      </c>
      <c r="B318" s="16" t="n"/>
      <c r="C318" s="16" t="inlineStr">
        <is>
          <t>Lab Consumables</t>
        </is>
      </c>
      <c r="D318" s="16" t="inlineStr">
        <is>
          <t>WH Misc</t>
        </is>
      </c>
      <c r="E318" s="16" t="inlineStr">
        <is>
          <t>NO</t>
        </is>
      </c>
      <c r="F318" s="16" t="inlineStr">
        <is>
          <t>L-4</t>
        </is>
      </c>
      <c r="G318" s="16" t="n"/>
      <c r="H318" s="16" t="n"/>
      <c r="I318" s="16" t="n">
        <v>30</v>
      </c>
      <c r="J318" s="16" t="inlineStr">
        <is>
          <t>Yes</t>
        </is>
      </c>
      <c r="K318" s="16" t="n"/>
    </row>
    <row r="319" ht="15" customHeight="1" s="13">
      <c r="A319" s="16" t="inlineStr">
        <is>
          <t>7216/0017</t>
        </is>
      </c>
      <c r="B319" s="16" t="n"/>
      <c r="C319" s="16" t="inlineStr">
        <is>
          <t>Lab Consumables</t>
        </is>
      </c>
      <c r="D319" s="16" t="inlineStr">
        <is>
          <t>WH Misc</t>
        </is>
      </c>
      <c r="E319" s="16" t="inlineStr">
        <is>
          <t>NO</t>
        </is>
      </c>
      <c r="F319" s="16" t="inlineStr">
        <is>
          <t>L-1</t>
        </is>
      </c>
      <c r="G319" s="16" t="n"/>
      <c r="H319" s="16" t="n"/>
      <c r="I319" s="16" t="n">
        <v>24</v>
      </c>
      <c r="J319" s="16" t="inlineStr">
        <is>
          <t>Yes</t>
        </is>
      </c>
      <c r="K319" s="16" t="n"/>
    </row>
    <row r="320" ht="15" customHeight="1" s="13">
      <c r="A320" s="16" t="inlineStr">
        <is>
          <t>7216/0016</t>
        </is>
      </c>
      <c r="B320" s="16" t="inlineStr">
        <is>
          <t>6 Way DT06 Wedge</t>
        </is>
      </c>
      <c r="C320" s="16" t="inlineStr">
        <is>
          <t>Lab Consumables</t>
        </is>
      </c>
      <c r="D320" s="16" t="inlineStr">
        <is>
          <t>WH Misc</t>
        </is>
      </c>
      <c r="E320" s="16" t="inlineStr">
        <is>
          <t>NO</t>
        </is>
      </c>
      <c r="F320" s="16" t="inlineStr">
        <is>
          <t>EMC-05</t>
        </is>
      </c>
      <c r="G320" s="16" t="n"/>
      <c r="H320" s="16" t="n"/>
      <c r="I320" s="16" t="n">
        <v>15</v>
      </c>
      <c r="J320" s="16" t="inlineStr">
        <is>
          <t>Yes</t>
        </is>
      </c>
      <c r="K320" s="16" t="n"/>
    </row>
    <row r="321" ht="15" customHeight="1" s="13">
      <c r="A321" s="16" t="inlineStr">
        <is>
          <t>7218/0009</t>
        </is>
      </c>
      <c r="B321" s="16" t="inlineStr">
        <is>
          <t>8 Way DT06 Wedge</t>
        </is>
      </c>
      <c r="C321" s="16" t="inlineStr">
        <is>
          <t>Lab Consumables</t>
        </is>
      </c>
      <c r="D321" s="16" t="inlineStr">
        <is>
          <t>WH Misc</t>
        </is>
      </c>
      <c r="E321" s="16" t="inlineStr">
        <is>
          <t>NO</t>
        </is>
      </c>
      <c r="F321" s="16" t="inlineStr">
        <is>
          <t>EMC-05</t>
        </is>
      </c>
      <c r="G321" s="16" t="n"/>
      <c r="H321" s="16" t="n"/>
      <c r="I321" s="16" t="n">
        <v>15</v>
      </c>
      <c r="J321" s="16" t="inlineStr">
        <is>
          <t>Yes</t>
        </is>
      </c>
      <c r="K321" s="16" t="n"/>
    </row>
    <row r="322" ht="15" customHeight="1" s="13">
      <c r="A322" s="16" t="inlineStr">
        <is>
          <t>7214/0027</t>
        </is>
      </c>
      <c r="B322" s="16" t="inlineStr">
        <is>
          <t>4 Way DTM06 Socket Housing</t>
        </is>
      </c>
      <c r="C322" s="16" t="inlineStr">
        <is>
          <t>Lab Consumables</t>
        </is>
      </c>
      <c r="D322" s="16" t="inlineStr">
        <is>
          <t>WH Misc</t>
        </is>
      </c>
      <c r="E322" s="16" t="inlineStr">
        <is>
          <t>NO</t>
        </is>
      </c>
      <c r="F322" s="16" t="inlineStr">
        <is>
          <t>EMC-05</t>
        </is>
      </c>
      <c r="G322" s="16" t="n"/>
      <c r="H322" s="16" t="n"/>
      <c r="I322" s="16" t="n">
        <v>10</v>
      </c>
      <c r="J322" s="16" t="inlineStr">
        <is>
          <t>Yes</t>
        </is>
      </c>
      <c r="K322" s="16" t="n"/>
    </row>
    <row r="323" ht="15" customHeight="1" s="13">
      <c r="A323" s="16" t="inlineStr">
        <is>
          <t>7219/0273</t>
        </is>
      </c>
      <c r="B323" s="16" t="inlineStr">
        <is>
          <t>9 WAY FEM DIAGNOSTIC SKT J1939</t>
        </is>
      </c>
      <c r="C323" s="16" t="inlineStr">
        <is>
          <t>Lab Consumables</t>
        </is>
      </c>
      <c r="D323" s="16" t="inlineStr">
        <is>
          <t>WH Misc</t>
        </is>
      </c>
      <c r="E323" s="16" t="inlineStr">
        <is>
          <t>NO</t>
        </is>
      </c>
      <c r="F323" s="16" t="inlineStr">
        <is>
          <t>EMC-05</t>
        </is>
      </c>
      <c r="G323" s="16" t="n"/>
      <c r="H323" s="16" t="n"/>
      <c r="I323" s="16" t="n">
        <v>10</v>
      </c>
      <c r="J323" s="16" t="inlineStr">
        <is>
          <t>Yes</t>
        </is>
      </c>
      <c r="K323" s="16" t="n"/>
    </row>
    <row r="324" ht="15" customHeight="1" s="13">
      <c r="A324" s="16" t="inlineStr">
        <is>
          <t>7214/0032</t>
        </is>
      </c>
      <c r="B324" s="16" t="inlineStr">
        <is>
          <t>4 Way DTP06 Wedge</t>
        </is>
      </c>
      <c r="C324" s="16" t="inlineStr">
        <is>
          <t>Lab Consumables</t>
        </is>
      </c>
      <c r="D324" s="16" t="inlineStr">
        <is>
          <t>WH Misc</t>
        </is>
      </c>
      <c r="E324" s="16" t="inlineStr">
        <is>
          <t>NO</t>
        </is>
      </c>
      <c r="F324" s="16" t="inlineStr">
        <is>
          <t>EMC-05</t>
        </is>
      </c>
      <c r="G324" s="16" t="n"/>
      <c r="H324" s="16" t="n"/>
      <c r="I324" s="16" t="n">
        <v>10</v>
      </c>
      <c r="J324" s="16" t="inlineStr">
        <is>
          <t>Yes</t>
        </is>
      </c>
      <c r="K324" s="16" t="n"/>
    </row>
    <row r="325" ht="15" customHeight="1" s="13">
      <c r="A325" s="16" t="inlineStr">
        <is>
          <t>7220/0054</t>
        </is>
      </c>
      <c r="B325" s="16" t="inlineStr">
        <is>
          <t>29 Way HDP Free Socket Housing</t>
        </is>
      </c>
      <c r="C325" s="16" t="inlineStr">
        <is>
          <t>Lab Consumables</t>
        </is>
      </c>
      <c r="D325" s="16" t="inlineStr">
        <is>
          <t>WH Misc</t>
        </is>
      </c>
      <c r="E325" s="16" t="inlineStr">
        <is>
          <t>NO</t>
        </is>
      </c>
      <c r="F325" s="16" t="inlineStr">
        <is>
          <t>EMC-05</t>
        </is>
      </c>
      <c r="G325" s="16" t="n"/>
      <c r="H325" s="16" t="n"/>
      <c r="I325" s="16" t="n">
        <v>5</v>
      </c>
      <c r="J325" s="16" t="inlineStr">
        <is>
          <t>Yes</t>
        </is>
      </c>
      <c r="K325" s="16" t="n"/>
    </row>
    <row r="326" ht="15" customHeight="1" s="13">
      <c r="A326" s="16" t="inlineStr">
        <is>
          <t>402/R5392</t>
        </is>
      </c>
      <c r="B326" s="16" t="inlineStr">
        <is>
          <t>ROTARY ENCODER</t>
        </is>
      </c>
      <c r="C326" s="16" t="inlineStr">
        <is>
          <t>Lab Consumables</t>
        </is>
      </c>
      <c r="D326" s="16" t="inlineStr">
        <is>
          <t>WH Misc</t>
        </is>
      </c>
      <c r="E326" s="16" t="inlineStr">
        <is>
          <t>NO</t>
        </is>
      </c>
      <c r="F326" s="16" t="n"/>
      <c r="G326" s="16" t="n"/>
      <c r="H326" s="16" t="n"/>
      <c r="I326" s="16" t="n">
        <v>1</v>
      </c>
      <c r="J326" s="16" t="inlineStr">
        <is>
          <t>Yes</t>
        </is>
      </c>
      <c r="K326" s="16" t="n"/>
    </row>
    <row r="327" ht="15" customHeight="1" s="13">
      <c r="A327" s="16" t="inlineStr">
        <is>
          <t>402/RX2039</t>
        </is>
      </c>
      <c r="B327" s="16" t="inlineStr">
        <is>
          <t>ELEC HARNESS USB FLASHING</t>
        </is>
      </c>
      <c r="C327" s="16" t="inlineStr">
        <is>
          <t>Lab Consumables</t>
        </is>
      </c>
      <c r="D327" s="16" t="inlineStr">
        <is>
          <t>WH Misc</t>
        </is>
      </c>
      <c r="E327" s="16" t="inlineStr">
        <is>
          <t>NO</t>
        </is>
      </c>
      <c r="F327" s="16" t="n"/>
      <c r="G327" s="16" t="n"/>
      <c r="H327" s="16" t="n"/>
      <c r="I327" s="16" t="n">
        <v>1</v>
      </c>
      <c r="J327" s="16" t="inlineStr">
        <is>
          <t>Yes</t>
        </is>
      </c>
      <c r="K327" s="16" t="n"/>
    </row>
    <row r="328" ht="15" customHeight="1" s="13">
      <c r="A328" s="16" t="inlineStr">
        <is>
          <t>402/R5384</t>
        </is>
      </c>
      <c r="B328" s="16" t="inlineStr">
        <is>
          <t>24V CM2723 ECU HARDWARE</t>
        </is>
      </c>
      <c r="C328" s="16" t="inlineStr">
        <is>
          <t>Lab Consumables</t>
        </is>
      </c>
      <c r="D328" s="16" t="inlineStr">
        <is>
          <t>WH Misc</t>
        </is>
      </c>
      <c r="E328" s="16" t="inlineStr">
        <is>
          <t>NO</t>
        </is>
      </c>
      <c r="F328" s="16" t="n"/>
      <c r="G328" s="16" t="n"/>
      <c r="H328" s="16" t="n"/>
      <c r="I328" s="16" t="n">
        <v>3</v>
      </c>
      <c r="J328" s="16" t="inlineStr">
        <is>
          <t>Yes</t>
        </is>
      </c>
      <c r="K328" s="16" t="n"/>
    </row>
    <row r="329" ht="15" customHeight="1" s="13">
      <c r="A329" s="16" t="inlineStr">
        <is>
          <t>334/E1468</t>
        </is>
      </c>
      <c r="B329" s="16" t="inlineStr">
        <is>
          <t>ABI RH PROP CTRL VALV JOYSTICK(P545)</t>
        </is>
      </c>
      <c r="C329" s="16" t="inlineStr">
        <is>
          <t>Lab Consumables</t>
        </is>
      </c>
      <c r="D329" s="16" t="inlineStr">
        <is>
          <t>WH Misc</t>
        </is>
      </c>
      <c r="E329" s="16" t="inlineStr">
        <is>
          <t>NO</t>
        </is>
      </c>
      <c r="F329" s="16" t="n"/>
      <c r="G329" s="16" t="n"/>
      <c r="H329" s="16" t="n"/>
      <c r="I329" s="16" t="n">
        <v>1</v>
      </c>
      <c r="J329" s="16" t="inlineStr">
        <is>
          <t>Yes</t>
        </is>
      </c>
      <c r="K329" s="16" t="n"/>
    </row>
    <row r="330" ht="15" customHeight="1" s="13">
      <c r="A330" s="16" t="inlineStr">
        <is>
          <t>334/E1467</t>
        </is>
      </c>
      <c r="B330" s="16" t="inlineStr">
        <is>
          <t>ABI LH PROP CTRL VALV JOYSTICK(P545)</t>
        </is>
      </c>
      <c r="C330" s="16" t="inlineStr">
        <is>
          <t>Lab Consumables</t>
        </is>
      </c>
      <c r="D330" s="16" t="inlineStr">
        <is>
          <t>WH Misc</t>
        </is>
      </c>
      <c r="E330" s="16" t="inlineStr">
        <is>
          <t>NO</t>
        </is>
      </c>
      <c r="F330" s="16" t="n"/>
      <c r="G330" s="16" t="n"/>
      <c r="H330" s="16" t="n"/>
      <c r="I330" s="16" t="n">
        <v>1</v>
      </c>
      <c r="J330" s="16" t="inlineStr">
        <is>
          <t>Yes</t>
        </is>
      </c>
      <c r="K330" s="16" t="n"/>
    </row>
    <row r="331" ht="15" customHeight="1" s="13">
      <c r="A331" s="16" t="inlineStr">
        <is>
          <t>402/R5326</t>
        </is>
      </c>
      <c r="B331" s="16" t="inlineStr">
        <is>
          <t>6 WAY SWITCH PACK</t>
        </is>
      </c>
      <c r="C331" s="16" t="inlineStr">
        <is>
          <t>Lab Consumables</t>
        </is>
      </c>
      <c r="D331" s="16" t="inlineStr">
        <is>
          <t>WH Misc</t>
        </is>
      </c>
      <c r="E331" s="16" t="inlineStr">
        <is>
          <t>NO</t>
        </is>
      </c>
      <c r="F331" s="16" t="n"/>
      <c r="G331" s="16" t="n"/>
      <c r="H331" s="16" t="n"/>
      <c r="I331" s="16" t="n">
        <v>1</v>
      </c>
      <c r="J331" s="16" t="inlineStr">
        <is>
          <t>Yes</t>
        </is>
      </c>
      <c r="K331" s="16" t="n"/>
    </row>
    <row r="332" ht="15" customHeight="1" s="13">
      <c r="A332" s="16" t="inlineStr">
        <is>
          <t>403/W7443</t>
        </is>
      </c>
      <c r="B332" s="16" t="inlineStr">
        <is>
          <t>DISPLAY 10" COBO</t>
        </is>
      </c>
      <c r="C332" s="16" t="inlineStr">
        <is>
          <t>Lab Consumables</t>
        </is>
      </c>
      <c r="D332" s="16" t="inlineStr">
        <is>
          <t>WH Misc</t>
        </is>
      </c>
      <c r="E332" s="16" t="inlineStr">
        <is>
          <t>NO</t>
        </is>
      </c>
      <c r="F332" s="16" t="n"/>
      <c r="G332" s="16" t="n"/>
      <c r="H332" s="16" t="n"/>
      <c r="I332" s="16" t="n">
        <v>1</v>
      </c>
      <c r="J332" s="16" t="inlineStr">
        <is>
          <t>Yes</t>
        </is>
      </c>
      <c r="K332" s="16" t="n"/>
    </row>
    <row r="333" ht="15" customHeight="1" s="13">
      <c r="A333" s="16" t="inlineStr">
        <is>
          <t>402/R5324</t>
        </is>
      </c>
      <c r="B333" s="16" t="inlineStr">
        <is>
          <t>ARMREST MODULE (TRACKED)</t>
        </is>
      </c>
      <c r="C333" s="16" t="inlineStr">
        <is>
          <t>Lab Consumables</t>
        </is>
      </c>
      <c r="D333" s="16" t="inlineStr">
        <is>
          <t>WH Misc</t>
        </is>
      </c>
      <c r="E333" s="16" t="inlineStr">
        <is>
          <t>NO</t>
        </is>
      </c>
      <c r="F333" s="16" t="n"/>
      <c r="G333" s="16" t="n"/>
      <c r="H333" s="16" t="n"/>
      <c r="I333" s="16" t="n">
        <v>1</v>
      </c>
      <c r="J333" s="16" t="inlineStr">
        <is>
          <t>Yes</t>
        </is>
      </c>
      <c r="K333" s="16" t="n"/>
    </row>
    <row r="334" ht="15" customHeight="1" s="13">
      <c r="A334" s="16" t="inlineStr">
        <is>
          <t>728/J8518</t>
        </is>
      </c>
      <c r="B334" s="16" t="inlineStr">
        <is>
          <t>LIVELINK 4 2022 ECU 12/24</t>
        </is>
      </c>
      <c r="C334" s="16" t="inlineStr">
        <is>
          <t>Lab Consumables</t>
        </is>
      </c>
      <c r="D334" s="16" t="inlineStr">
        <is>
          <t>WH Misc</t>
        </is>
      </c>
      <c r="E334" s="16" t="inlineStr">
        <is>
          <t>NO</t>
        </is>
      </c>
      <c r="F334" s="16" t="n"/>
      <c r="G334" s="16" t="n"/>
      <c r="H334" s="16" t="n"/>
      <c r="I334" s="16" t="n">
        <v>1</v>
      </c>
      <c r="J334" s="16" t="inlineStr">
        <is>
          <t>Yes</t>
        </is>
      </c>
      <c r="K334" s="16" t="n"/>
    </row>
    <row r="335" ht="15" customHeight="1" s="13">
      <c r="A335" s="16" t="inlineStr">
        <is>
          <t>MC000SCVMMMJJ002</t>
        </is>
      </c>
      <c r="B335" s="16" t="inlineStr">
        <is>
          <t>ALTEC SLI NC08 10MM FRE LENGTH</t>
        </is>
      </c>
      <c r="C335" s="16" t="inlineStr">
        <is>
          <t>Lab Consumables</t>
        </is>
      </c>
      <c r="D335" s="16" t="inlineStr">
        <is>
          <t>WH Misc</t>
        </is>
      </c>
      <c r="E335" s="16" t="inlineStr">
        <is>
          <t>NO</t>
        </is>
      </c>
      <c r="F335" s="16" t="inlineStr">
        <is>
          <t>extended area 1st floor</t>
        </is>
      </c>
      <c r="G335" s="16" t="inlineStr">
        <is>
          <t>R J ELECTRICAL ( RP0123 )</t>
        </is>
      </c>
      <c r="H335" s="16" t="n">
        <v>27.3</v>
      </c>
      <c r="I335" s="16" t="n">
        <v>600</v>
      </c>
      <c r="J335" s="16" t="inlineStr">
        <is>
          <t>Yes</t>
        </is>
      </c>
      <c r="K335" s="16" t="n"/>
    </row>
    <row r="336" ht="15" customHeight="1" s="13">
      <c r="A336" s="16" t="inlineStr">
        <is>
          <t>MC000SCMVAQJJ001</t>
        </is>
      </c>
      <c r="B336" s="16" t="inlineStr">
        <is>
          <t>ALTEC SLI NC16 16MM FRE OD 16MM BLK 105°</t>
        </is>
      </c>
      <c r="C336" s="16" t="inlineStr">
        <is>
          <t>Lab Consumables</t>
        </is>
      </c>
      <c r="D336" s="16" t="inlineStr">
        <is>
          <t>WH Misc</t>
        </is>
      </c>
      <c r="E336" s="16" t="inlineStr">
        <is>
          <t>NO</t>
        </is>
      </c>
      <c r="F336" s="16" t="inlineStr">
        <is>
          <t>extended area 1st floor</t>
        </is>
      </c>
      <c r="G336" s="16" t="inlineStr">
        <is>
          <t>R J ELECTRICAL ( RP0123 )</t>
        </is>
      </c>
      <c r="H336" s="16" t="n">
        <v>32.4</v>
      </c>
      <c r="I336" s="16" t="n">
        <v>300</v>
      </c>
      <c r="J336" s="16" t="inlineStr">
        <is>
          <t>Yes</t>
        </is>
      </c>
      <c r="K336" s="16" t="n"/>
    </row>
    <row r="337" ht="15" customHeight="1" s="13">
      <c r="A337" s="16" t="inlineStr">
        <is>
          <t>MC000SCAAYUJJ001</t>
        </is>
      </c>
      <c r="B337" s="16" t="inlineStr">
        <is>
          <t>ALTEC SLI NC20 21MM FRE 21MM BLK 105°C</t>
        </is>
      </c>
      <c r="C337" s="16" t="inlineStr">
        <is>
          <t>Lab Consumables</t>
        </is>
      </c>
      <c r="D337" s="16" t="inlineStr">
        <is>
          <t>WH Misc</t>
        </is>
      </c>
      <c r="E337" s="16" t="inlineStr">
        <is>
          <t>NO</t>
        </is>
      </c>
      <c r="F337" s="16" t="inlineStr">
        <is>
          <t>extended area 1st floor</t>
        </is>
      </c>
      <c r="G337" s="16" t="inlineStr">
        <is>
          <t>R J ELECTRICAL ( RP0123 )</t>
        </is>
      </c>
      <c r="H337" s="16" t="n">
        <v>43</v>
      </c>
      <c r="I337" s="16" t="n">
        <v>150</v>
      </c>
      <c r="J337" s="16" t="inlineStr">
        <is>
          <t>Yes</t>
        </is>
      </c>
      <c r="K337" s="16" t="n"/>
    </row>
    <row r="338" ht="15" customHeight="1" s="13">
      <c r="A338" s="16" t="inlineStr">
        <is>
          <t>MC000SCBBILJJ001</t>
        </is>
      </c>
      <c r="B338" s="16" t="inlineStr">
        <is>
          <t>ALTEC SLI NC25 25MM FRE OD 25MM BLK 105°</t>
        </is>
      </c>
      <c r="C338" s="16" t="inlineStr">
        <is>
          <t>Lab Consumables</t>
        </is>
      </c>
      <c r="D338" s="16" t="inlineStr">
        <is>
          <t>WH Misc</t>
        </is>
      </c>
      <c r="E338" s="16" t="inlineStr">
        <is>
          <t>NO</t>
        </is>
      </c>
      <c r="F338" s="16" t="inlineStr">
        <is>
          <t>extended area 1st floor</t>
        </is>
      </c>
      <c r="G338" s="16" t="inlineStr">
        <is>
          <t>R J ELECTRICAL ( RP0123 )</t>
        </is>
      </c>
      <c r="H338" s="16" t="n">
        <v>57.3</v>
      </c>
      <c r="I338" s="16" t="n">
        <v>150</v>
      </c>
      <c r="J338" s="16" t="inlineStr">
        <is>
          <t>Yes</t>
        </is>
      </c>
      <c r="K338" s="16" t="n"/>
    </row>
    <row r="339" ht="15" customHeight="1" s="13">
      <c r="A339" s="16" t="inlineStr">
        <is>
          <t>MC000SCCCOPJJ001</t>
        </is>
      </c>
      <c r="B339" s="16" t="inlineStr">
        <is>
          <t>ALTEC SLI NC30 32MM FRE OD 32MM BLK 105°</t>
        </is>
      </c>
      <c r="C339" s="16" t="inlineStr">
        <is>
          <t>Lab Consumables</t>
        </is>
      </c>
      <c r="D339" s="16" t="inlineStr">
        <is>
          <t>WH Misc</t>
        </is>
      </c>
      <c r="E339" s="16" t="inlineStr">
        <is>
          <t>NO</t>
        </is>
      </c>
      <c r="F339" s="16" t="inlineStr">
        <is>
          <t>extended area 1st floor</t>
        </is>
      </c>
      <c r="G339" s="16" t="inlineStr">
        <is>
          <t>R J ELECTRICAL ( RP0123 )</t>
        </is>
      </c>
      <c r="H339" s="16" t="n">
        <v>93.2</v>
      </c>
      <c r="I339" s="16" t="n">
        <v>300</v>
      </c>
      <c r="J339" s="16" t="inlineStr">
        <is>
          <t>Yes</t>
        </is>
      </c>
      <c r="K339" s="16" t="n"/>
    </row>
    <row r="340" ht="15" customHeight="1" s="13">
      <c r="A340" s="16" t="inlineStr">
        <is>
          <t>MC000SCQQPOJJ001</t>
        </is>
      </c>
      <c r="B340" s="16" t="inlineStr">
        <is>
          <t>ALTEC SLI NC32 35MM FRE OD 35MM BLK 105°</t>
        </is>
      </c>
      <c r="C340" s="16" t="inlineStr">
        <is>
          <t>Lab Consumables</t>
        </is>
      </c>
      <c r="D340" s="16" t="inlineStr">
        <is>
          <t>WH Misc</t>
        </is>
      </c>
      <c r="E340" s="16" t="inlineStr">
        <is>
          <t>NO</t>
        </is>
      </c>
      <c r="F340" s="16" t="inlineStr">
        <is>
          <t>extended area 1st floor</t>
        </is>
      </c>
      <c r="G340" s="16" t="inlineStr">
        <is>
          <t>R J ELECTRICAL ( RP0123 )</t>
        </is>
      </c>
      <c r="H340" s="16" t="n">
        <v>129</v>
      </c>
      <c r="I340" s="16" t="n">
        <v>150</v>
      </c>
      <c r="J340" s="16" t="inlineStr">
        <is>
          <t>Yes</t>
        </is>
      </c>
      <c r="K340" s="16" t="n"/>
    </row>
    <row r="341" ht="15" customHeight="1" s="13">
      <c r="A341" s="16" t="inlineStr">
        <is>
          <t>MC000SCNHWEJJ001</t>
        </is>
      </c>
      <c r="B341" s="16" t="inlineStr">
        <is>
          <t>ALTEC SLI NC40 43MM FRE OD 43MM BLK 105°</t>
        </is>
      </c>
      <c r="C341" s="16" t="inlineStr">
        <is>
          <t>Lab Consumables</t>
        </is>
      </c>
      <c r="D341" s="16" t="inlineStr">
        <is>
          <t>WH Misc</t>
        </is>
      </c>
      <c r="E341" s="16" t="inlineStr">
        <is>
          <t>NO</t>
        </is>
      </c>
      <c r="F341" s="16" t="inlineStr">
        <is>
          <t>extended area 1st floor</t>
        </is>
      </c>
      <c r="G341" s="16" t="inlineStr">
        <is>
          <t>R J ELECTRICAL ( RP0123 )</t>
        </is>
      </c>
      <c r="H341" s="16" t="n">
        <v>153.5</v>
      </c>
      <c r="I341" s="16" t="n">
        <v>150</v>
      </c>
      <c r="J341" s="16" t="inlineStr">
        <is>
          <t>Yes</t>
        </is>
      </c>
      <c r="K341" s="16" t="n"/>
    </row>
    <row r="342" ht="15" customHeight="1" s="13">
      <c r="A342" s="16" t="inlineStr">
        <is>
          <t>MC000SCUUREJJ001</t>
        </is>
      </c>
      <c r="B342" s="16" t="inlineStr">
        <is>
          <t>ALTEC SLI NC50 55MM FRE OD 55MM BLK 105°</t>
        </is>
      </c>
      <c r="C342" s="16" t="inlineStr">
        <is>
          <t>Lab Consumables</t>
        </is>
      </c>
      <c r="D342" s="16" t="inlineStr">
        <is>
          <t>WH Misc</t>
        </is>
      </c>
      <c r="E342" s="16" t="inlineStr">
        <is>
          <t>NO</t>
        </is>
      </c>
      <c r="F342" s="16" t="inlineStr">
        <is>
          <t>extended area 1st floor</t>
        </is>
      </c>
      <c r="G342" s="16" t="inlineStr">
        <is>
          <t>R J ELECTRICAL ( RP0123 )</t>
        </is>
      </c>
      <c r="H342" s="16" t="n">
        <v>236</v>
      </c>
      <c r="I342" s="16" t="n">
        <v>150</v>
      </c>
      <c r="J342" s="16" t="inlineStr">
        <is>
          <t>Yes</t>
        </is>
      </c>
      <c r="K342" s="16" t="n"/>
    </row>
    <row r="343" ht="15" customHeight="1" s="13">
      <c r="A343" s="16" t="inlineStr">
        <is>
          <t>MC000SCVVBBJJ001</t>
        </is>
      </c>
      <c r="B343" s="16" t="inlineStr">
        <is>
          <t>ALTEC SLI NC10 13MM FRE OD 13MM BLK 105°</t>
        </is>
      </c>
      <c r="C343" s="16" t="inlineStr">
        <is>
          <t>Lab Consumables</t>
        </is>
      </c>
      <c r="D343" s="16" t="inlineStr">
        <is>
          <t>WH Misc</t>
        </is>
      </c>
      <c r="E343" s="16" t="inlineStr">
        <is>
          <t>NO</t>
        </is>
      </c>
      <c r="F343" s="16" t="inlineStr">
        <is>
          <t>extended area 1st floor</t>
        </is>
      </c>
      <c r="G343" s="16" t="inlineStr">
        <is>
          <t>R J ELECTRICAL ( RP0123 )</t>
        </is>
      </c>
      <c r="H343" s="16" t="n">
        <v>29.5</v>
      </c>
      <c r="I343" s="16" t="n">
        <v>29</v>
      </c>
      <c r="J343" s="16" t="inlineStr">
        <is>
          <t>Yes</t>
        </is>
      </c>
      <c r="K343" s="16" t="n"/>
    </row>
    <row r="344" ht="15" customHeight="1" s="13">
      <c r="A344" s="16" t="inlineStr">
        <is>
          <t>P_CON_HARD_GEN_802</t>
        </is>
      </c>
      <c r="B344" s="16" t="inlineStr">
        <is>
          <t>CLOTH TAPE -40 / +125°C</t>
        </is>
      </c>
      <c r="C344" s="16" t="inlineStr">
        <is>
          <t>Lab Consumables</t>
        </is>
      </c>
      <c r="D344" s="16" t="inlineStr">
        <is>
          <t>Insulation Tape</t>
        </is>
      </c>
      <c r="E344" s="16" t="inlineStr">
        <is>
          <t>NO</t>
        </is>
      </c>
      <c r="F344" s="16" t="inlineStr">
        <is>
          <t>extended area 1st floor</t>
        </is>
      </c>
      <c r="G344" s="16" t="inlineStr">
        <is>
          <t>R J ELECTRICAL ( RP0123 )</t>
        </is>
      </c>
      <c r="H344" s="16" t="n">
        <v>975</v>
      </c>
      <c r="I344" s="16" t="n">
        <v>1</v>
      </c>
      <c r="J344" s="16" t="inlineStr">
        <is>
          <t>Yes</t>
        </is>
      </c>
      <c r="K344" s="16" t="n"/>
    </row>
    <row r="345" ht="15" customHeight="1" s="13">
      <c r="A345" s="16" t="inlineStr">
        <is>
          <t>P_CON_HARD_GEN_803</t>
        </is>
      </c>
      <c r="B345" s="16" t="inlineStr">
        <is>
          <t>PRINTER TAPE</t>
        </is>
      </c>
      <c r="C345" s="16" t="inlineStr">
        <is>
          <t>Lab Consumables</t>
        </is>
      </c>
      <c r="D345" s="16" t="inlineStr">
        <is>
          <t>Insulation Tape</t>
        </is>
      </c>
      <c r="E345" s="16" t="inlineStr">
        <is>
          <t>NO</t>
        </is>
      </c>
      <c r="F345" s="16" t="inlineStr">
        <is>
          <t>extended area 1st floor</t>
        </is>
      </c>
      <c r="G345" s="16" t="inlineStr">
        <is>
          <t>R J ELECTRICAL ( RP0123 )</t>
        </is>
      </c>
      <c r="H345" s="16" t="n">
        <v>1800</v>
      </c>
      <c r="I345" s="16" t="n">
        <v>4</v>
      </c>
      <c r="J345" s="16" t="inlineStr">
        <is>
          <t>Yes</t>
        </is>
      </c>
      <c r="K345" s="16" t="n"/>
    </row>
    <row r="346" ht="15" customHeight="1" s="13">
      <c r="A346" s="16" t="inlineStr">
        <is>
          <t>P_CON_FER_KIRON_01</t>
        </is>
      </c>
      <c r="B346" s="16" t="inlineStr">
        <is>
          <t>FERRULE TUBE SIZE 2.5MM</t>
        </is>
      </c>
      <c r="C346" s="16" t="inlineStr">
        <is>
          <t>Lab Consumables</t>
        </is>
      </c>
      <c r="D346" s="16" t="inlineStr">
        <is>
          <t>Ferrule</t>
        </is>
      </c>
      <c r="E346" s="16" t="inlineStr">
        <is>
          <t>NO</t>
        </is>
      </c>
      <c r="F346" s="16" t="inlineStr">
        <is>
          <t>extended area 1st floor</t>
        </is>
      </c>
      <c r="G346" s="16" t="inlineStr">
        <is>
          <t>R J ELECTRICAL ( RP0123 )</t>
        </is>
      </c>
      <c r="H346" s="16" t="n">
        <v>2.2</v>
      </c>
      <c r="I346" s="16" t="n">
        <v>100</v>
      </c>
      <c r="J346" s="16" t="inlineStr">
        <is>
          <t>Yes</t>
        </is>
      </c>
      <c r="K346" s="16" t="n"/>
    </row>
    <row r="347" ht="15" customHeight="1" s="13">
      <c r="A347" s="16" t="inlineStr">
        <is>
          <t>P_CON_FER_KIRON_02</t>
        </is>
      </c>
      <c r="B347" s="16" t="inlineStr">
        <is>
          <t>FERRULE TUBE SIZE 3.5MM</t>
        </is>
      </c>
      <c r="C347" s="16" t="inlineStr">
        <is>
          <t>Lab Consumables</t>
        </is>
      </c>
      <c r="D347" s="16" t="inlineStr">
        <is>
          <t>Ferrule</t>
        </is>
      </c>
      <c r="E347" s="16" t="inlineStr">
        <is>
          <t>NO</t>
        </is>
      </c>
      <c r="F347" s="16" t="inlineStr">
        <is>
          <t>extended area 1st floor</t>
        </is>
      </c>
      <c r="G347" s="16" t="inlineStr">
        <is>
          <t>R J ELECTRICAL ( RP0123 )</t>
        </is>
      </c>
      <c r="H347" s="16" t="n">
        <v>3.5</v>
      </c>
      <c r="I347" s="16" t="n">
        <v>100</v>
      </c>
      <c r="J347" s="16" t="inlineStr">
        <is>
          <t>Yes</t>
        </is>
      </c>
      <c r="K347" s="16" t="n"/>
    </row>
    <row r="348" ht="15" customHeight="1" s="13">
      <c r="A348" s="16" t="inlineStr">
        <is>
          <t>P_CON_FER_KIRON_03</t>
        </is>
      </c>
      <c r="B348" s="16" t="inlineStr">
        <is>
          <t>FERRULE SIZE 4.5MM</t>
        </is>
      </c>
      <c r="C348" s="16" t="inlineStr">
        <is>
          <t>Lab Consumables</t>
        </is>
      </c>
      <c r="D348" s="16" t="inlineStr">
        <is>
          <t>Ferrule</t>
        </is>
      </c>
      <c r="E348" s="16" t="inlineStr">
        <is>
          <t>NO</t>
        </is>
      </c>
      <c r="F348" s="16" t="inlineStr">
        <is>
          <t>extended area 1st floor</t>
        </is>
      </c>
      <c r="G348" s="16" t="inlineStr">
        <is>
          <t>R J ELECTRICAL ( RP0123 )</t>
        </is>
      </c>
      <c r="H348" s="16" t="n">
        <v>4.5</v>
      </c>
      <c r="I348" s="16" t="n">
        <v>100</v>
      </c>
      <c r="J348" s="16" t="inlineStr">
        <is>
          <t>Yes</t>
        </is>
      </c>
      <c r="K348" s="16" t="n"/>
    </row>
    <row r="349" ht="15" customHeight="1" s="13">
      <c r="A349" s="16" t="inlineStr">
        <is>
          <t>P_CON_FER_KIRON_04</t>
        </is>
      </c>
      <c r="B349" s="16" t="inlineStr">
        <is>
          <t>FERRULE SIZE 5.5MM</t>
        </is>
      </c>
      <c r="C349" s="16" t="inlineStr">
        <is>
          <t>Lab Consumables</t>
        </is>
      </c>
      <c r="D349" s="16" t="inlineStr">
        <is>
          <t>Ferrule</t>
        </is>
      </c>
      <c r="E349" s="16" t="inlineStr">
        <is>
          <t>NO</t>
        </is>
      </c>
      <c r="F349" s="16" t="inlineStr">
        <is>
          <t>extended area 1st floor</t>
        </is>
      </c>
      <c r="G349" s="16" t="inlineStr">
        <is>
          <t>R J ELECTRICAL ( RP0123 )</t>
        </is>
      </c>
      <c r="H349" s="16" t="n">
        <v>6.5</v>
      </c>
      <c r="I349" s="16" t="n">
        <v>100</v>
      </c>
      <c r="J349" s="16" t="inlineStr">
        <is>
          <t>Yes</t>
        </is>
      </c>
      <c r="K349" s="16" t="n"/>
    </row>
    <row r="350" ht="15" customHeight="1" s="13">
      <c r="A350" s="16" t="inlineStr">
        <is>
          <t>P_CON_FER_KIRON_05</t>
        </is>
      </c>
      <c r="B350" s="16" t="inlineStr">
        <is>
          <t>FERRULE SIZE 7MM</t>
        </is>
      </c>
      <c r="C350" s="16" t="inlineStr">
        <is>
          <t>Lab Consumables</t>
        </is>
      </c>
      <c r="D350" s="16" t="inlineStr">
        <is>
          <t>Ferrule</t>
        </is>
      </c>
      <c r="E350" s="16" t="inlineStr">
        <is>
          <t>NO</t>
        </is>
      </c>
      <c r="F350" s="16" t="n"/>
      <c r="G350" s="16" t="inlineStr">
        <is>
          <t>R J ELECTRICAL ( RP0123 )</t>
        </is>
      </c>
      <c r="H350" s="16" t="n">
        <v>9.5</v>
      </c>
      <c r="I350" s="16" t="n">
        <v>100</v>
      </c>
      <c r="J350" s="16" t="inlineStr">
        <is>
          <t>Yes</t>
        </is>
      </c>
      <c r="K350" s="16" t="n"/>
    </row>
    <row r="351" ht="15" customHeight="1" s="13">
      <c r="A351" s="16" t="inlineStr">
        <is>
          <t>7219/0221</t>
        </is>
      </c>
      <c r="B351" s="16" t="inlineStr">
        <is>
          <t>62 Way MCP 1.5K Tab Hsg blue key C</t>
        </is>
      </c>
      <c r="C351" s="16" t="inlineStr">
        <is>
          <t>Lab Consumables</t>
        </is>
      </c>
      <c r="D351" s="16" t="inlineStr">
        <is>
          <t>WH Misc</t>
        </is>
      </c>
      <c r="E351" s="16" t="inlineStr">
        <is>
          <t>NO</t>
        </is>
      </c>
      <c r="F351" s="16" t="inlineStr">
        <is>
          <t>D1-3</t>
        </is>
      </c>
      <c r="G351" s="16" t="n"/>
      <c r="H351" s="16" t="n"/>
      <c r="I351" s="16" t="n">
        <v>2</v>
      </c>
      <c r="J351" s="16" t="inlineStr">
        <is>
          <t>Yes</t>
        </is>
      </c>
      <c r="K351" s="16" t="n"/>
    </row>
    <row r="352" ht="15" customHeight="1" s="13">
      <c r="A352" s="16" t="inlineStr">
        <is>
          <t>7216/0052</t>
        </is>
      </c>
      <c r="B352" s="16" t="inlineStr">
        <is>
          <t>6 WAY MATENLOK FEM HSG UNSEALED</t>
        </is>
      </c>
      <c r="C352" s="16" t="inlineStr">
        <is>
          <t>Lab Consumables</t>
        </is>
      </c>
      <c r="D352" s="16" t="inlineStr">
        <is>
          <t>Wire Seal</t>
        </is>
      </c>
      <c r="E352" s="16" t="inlineStr">
        <is>
          <t>NO</t>
        </is>
      </c>
      <c r="F352" s="16" t="inlineStr">
        <is>
          <t>D1-3</t>
        </is>
      </c>
      <c r="G352" s="16" t="n"/>
      <c r="H352" s="16" t="n"/>
      <c r="I352" s="16" t="n">
        <v>20</v>
      </c>
      <c r="J352" s="16" t="inlineStr">
        <is>
          <t>Yes</t>
        </is>
      </c>
      <c r="K352" s="16" t="n"/>
    </row>
    <row r="353" ht="15" customHeight="1" s="13">
      <c r="A353" s="16" t="inlineStr">
        <is>
          <t>7201/0017</t>
        </is>
      </c>
      <c r="B353" s="16" t="inlineStr">
        <is>
          <t>1.50-2.50mm² JPT Female Terminal</t>
        </is>
      </c>
      <c r="C353" s="16" t="inlineStr">
        <is>
          <t>Lab Consumables</t>
        </is>
      </c>
      <c r="D353" s="16" t="inlineStr">
        <is>
          <t>Terminal</t>
        </is>
      </c>
      <c r="E353" s="16" t="inlineStr">
        <is>
          <t>NO</t>
        </is>
      </c>
      <c r="F353" s="16" t="inlineStr">
        <is>
          <t>D1-3</t>
        </is>
      </c>
      <c r="G353" s="16" t="n"/>
      <c r="H353" s="16" t="n"/>
      <c r="I353" s="16" t="n">
        <v>100</v>
      </c>
      <c r="J353" s="16" t="inlineStr">
        <is>
          <t>Yes</t>
        </is>
      </c>
      <c r="K353" s="16" t="n"/>
    </row>
    <row r="354" ht="15" customHeight="1" s="13">
      <c r="A354" s="16" t="inlineStr">
        <is>
          <t>7219/0218</t>
        </is>
      </c>
      <c r="B354" s="16" t="inlineStr">
        <is>
          <t>62W MCP1.5K Skt hsg blue Key C</t>
        </is>
      </c>
      <c r="C354" s="16" t="inlineStr">
        <is>
          <t>Lab Consumables</t>
        </is>
      </c>
      <c r="D354" s="16" t="inlineStr">
        <is>
          <t>WH Misc</t>
        </is>
      </c>
      <c r="E354" s="16" t="inlineStr">
        <is>
          <t>NO</t>
        </is>
      </c>
      <c r="F354" s="16" t="inlineStr">
        <is>
          <t>D1-3</t>
        </is>
      </c>
      <c r="G354" s="16" t="n"/>
      <c r="H354" s="16" t="n"/>
      <c r="I354" s="16" t="n">
        <v>5</v>
      </c>
      <c r="J354" s="16" t="inlineStr">
        <is>
          <t>Yes</t>
        </is>
      </c>
      <c r="K354" s="16" t="n"/>
    </row>
    <row r="355" ht="15" customHeight="1" s="13">
      <c r="A355" s="16" t="inlineStr">
        <is>
          <t>7219/0010</t>
        </is>
      </c>
      <c r="B355" s="16" t="inlineStr">
        <is>
          <t>12 Way DT04 Wedge</t>
        </is>
      </c>
      <c r="C355" s="16" t="inlineStr">
        <is>
          <t>Lab Consumables</t>
        </is>
      </c>
      <c r="D355" s="16" t="inlineStr">
        <is>
          <t>WH Misc</t>
        </is>
      </c>
      <c r="E355" s="16" t="inlineStr">
        <is>
          <t>NO</t>
        </is>
      </c>
      <c r="F355" s="16" t="inlineStr">
        <is>
          <t>D2-1</t>
        </is>
      </c>
      <c r="G355" s="16" t="n"/>
      <c r="H355" s="16" t="n"/>
      <c r="I355" s="16" t="n">
        <v>29</v>
      </c>
      <c r="J355" s="16" t="inlineStr">
        <is>
          <t>Yes</t>
        </is>
      </c>
      <c r="K355" s="16" t="n"/>
    </row>
    <row r="356" ht="15" customHeight="1" s="13">
      <c r="A356" s="16" t="inlineStr">
        <is>
          <t>7219/0024</t>
        </is>
      </c>
      <c r="B356" s="16" t="inlineStr">
        <is>
          <t>12 Way DTM06 Wedge</t>
        </is>
      </c>
      <c r="C356" s="16" t="inlineStr">
        <is>
          <t>Lab Consumables</t>
        </is>
      </c>
      <c r="D356" s="16" t="inlineStr">
        <is>
          <t>WH Misc</t>
        </is>
      </c>
      <c r="E356" s="16" t="inlineStr">
        <is>
          <t>NO</t>
        </is>
      </c>
      <c r="F356" s="16" t="inlineStr">
        <is>
          <t>D2-1</t>
        </is>
      </c>
      <c r="G356" s="16" t="n"/>
      <c r="H356" s="16" t="n"/>
      <c r="I356" s="16" t="n">
        <v>20</v>
      </c>
      <c r="J356" s="16" t="inlineStr">
        <is>
          <t>Yes</t>
        </is>
      </c>
      <c r="K356" s="16" t="n"/>
    </row>
    <row r="357" ht="15" customHeight="1" s="13">
      <c r="A357" s="16" t="inlineStr">
        <is>
          <t>7201/0152</t>
        </is>
      </c>
      <c r="B357" s="16" t="inlineStr">
        <is>
          <t>0.5-1.0 Micro Timer Female Term</t>
        </is>
      </c>
      <c r="C357" s="16" t="inlineStr">
        <is>
          <t>Lab Consumables</t>
        </is>
      </c>
      <c r="D357" s="16" t="inlineStr">
        <is>
          <t>WH Misc</t>
        </is>
      </c>
      <c r="E357" s="16" t="inlineStr">
        <is>
          <t>NO</t>
        </is>
      </c>
      <c r="F357" s="16" t="inlineStr">
        <is>
          <t>D1-3</t>
        </is>
      </c>
      <c r="G357" s="16" t="n"/>
      <c r="H357" s="16" t="n"/>
      <c r="I357" s="16" t="n">
        <v>100</v>
      </c>
      <c r="J357" s="16" t="inlineStr">
        <is>
          <t>Yes</t>
        </is>
      </c>
      <c r="K357" s="16" t="n"/>
    </row>
    <row r="358" ht="15" customHeight="1" s="13">
      <c r="A358" s="16" t="inlineStr">
        <is>
          <t>7201/0093</t>
        </is>
      </c>
      <c r="B358" s="16" t="inlineStr">
        <is>
          <t>0.75-1.50mm² Tab Terminal Superseal</t>
        </is>
      </c>
      <c r="C358" s="16" t="inlineStr">
        <is>
          <t>Lab Consumables</t>
        </is>
      </c>
      <c r="D358" s="16" t="inlineStr">
        <is>
          <t>Terminal</t>
        </is>
      </c>
      <c r="E358" s="16" t="inlineStr">
        <is>
          <t>NO</t>
        </is>
      </c>
      <c r="F358" s="16" t="inlineStr">
        <is>
          <t>D1-3</t>
        </is>
      </c>
      <c r="G358" s="16" t="n"/>
      <c r="H358" s="16" t="n"/>
      <c r="I358" s="16" t="n">
        <v>100</v>
      </c>
      <c r="J358" s="16" t="inlineStr">
        <is>
          <t>Yes</t>
        </is>
      </c>
      <c r="K358" s="16" t="n"/>
    </row>
    <row r="359" ht="15" customHeight="1" s="13">
      <c r="A359" s="16" t="inlineStr">
        <is>
          <t>7201/0127</t>
        </is>
      </c>
      <c r="B359" s="16" t="inlineStr">
        <is>
          <t>0.5-1.0 Size 16 Socket Terminal Gold</t>
        </is>
      </c>
      <c r="C359" s="16" t="inlineStr">
        <is>
          <t>Lab Consumables</t>
        </is>
      </c>
      <c r="D359" s="16" t="inlineStr">
        <is>
          <t>Terminal</t>
        </is>
      </c>
      <c r="E359" s="16" t="inlineStr">
        <is>
          <t>NO</t>
        </is>
      </c>
      <c r="F359" s="16" t="inlineStr">
        <is>
          <t>D1-3</t>
        </is>
      </c>
      <c r="G359" s="16" t="n"/>
      <c r="H359" s="16" t="n"/>
      <c r="I359" s="16" t="n">
        <v>70</v>
      </c>
      <c r="J359" s="16" t="inlineStr">
        <is>
          <t>Yes</t>
        </is>
      </c>
      <c r="K359" s="16" t="n"/>
    </row>
    <row r="360" ht="15" customHeight="1" s="13">
      <c r="A360" s="16" t="inlineStr">
        <is>
          <t>7201/0022</t>
        </is>
      </c>
      <c r="B360" s="16" t="inlineStr">
        <is>
          <t>0.75-2.00mm² Econo Socket Terminal</t>
        </is>
      </c>
      <c r="C360" s="16" t="inlineStr">
        <is>
          <t>Lab Consumables</t>
        </is>
      </c>
      <c r="D360" s="16" t="inlineStr">
        <is>
          <t>Terminal</t>
        </is>
      </c>
      <c r="E360" s="16" t="inlineStr">
        <is>
          <t>NO</t>
        </is>
      </c>
      <c r="F360" s="16" t="inlineStr">
        <is>
          <t>D1-3</t>
        </is>
      </c>
      <c r="G360" s="16" t="n"/>
      <c r="H360" s="16" t="n"/>
      <c r="I360" s="16" t="n">
        <v>100</v>
      </c>
      <c r="J360" s="16" t="inlineStr">
        <is>
          <t>Yes</t>
        </is>
      </c>
      <c r="K360" s="16" t="n"/>
    </row>
    <row r="361" ht="15" customHeight="1" s="13">
      <c r="A361" s="16" t="inlineStr">
        <is>
          <t>1670144-2</t>
        </is>
      </c>
      <c r="B361" s="16" t="n"/>
      <c r="C361" s="16" t="inlineStr">
        <is>
          <t>Lab Consumables</t>
        </is>
      </c>
      <c r="D361" s="16" t="inlineStr">
        <is>
          <t>WH Misc</t>
        </is>
      </c>
      <c r="E361" s="16" t="inlineStr">
        <is>
          <t>NO</t>
        </is>
      </c>
      <c r="F361" s="16" t="inlineStr">
        <is>
          <t>D1-3</t>
        </is>
      </c>
      <c r="G361" s="16" t="n"/>
      <c r="H361" s="16" t="n"/>
      <c r="I361" s="16" t="n">
        <v>100</v>
      </c>
      <c r="J361" s="16" t="inlineStr">
        <is>
          <t>Yes</t>
        </is>
      </c>
      <c r="K361" s="16" t="n"/>
    </row>
    <row r="362" ht="15" customHeight="1" s="13">
      <c r="A362" s="16" t="inlineStr">
        <is>
          <t>701/45501</t>
        </is>
      </c>
      <c r="B362" s="16" t="n"/>
      <c r="C362" s="16" t="inlineStr">
        <is>
          <t>Lab Consumables</t>
        </is>
      </c>
      <c r="D362" s="16" t="inlineStr">
        <is>
          <t>WH Misc</t>
        </is>
      </c>
      <c r="E362" s="16" t="inlineStr">
        <is>
          <t>NO</t>
        </is>
      </c>
      <c r="F362" s="16" t="inlineStr">
        <is>
          <t>D2-2</t>
        </is>
      </c>
      <c r="G362" s="16" t="n"/>
      <c r="H362" s="16" t="n"/>
      <c r="I362" s="16" t="n">
        <v>1</v>
      </c>
      <c r="J362" s="16" t="inlineStr">
        <is>
          <t>Yes</t>
        </is>
      </c>
      <c r="K362" s="16" t="n"/>
    </row>
    <row r="363" ht="15" customHeight="1" s="13">
      <c r="A363" s="16" t="inlineStr">
        <is>
          <t>696/01480</t>
        </is>
      </c>
      <c r="B363" s="16" t="inlineStr">
        <is>
          <t>24V Micro relay 15/10A Resistive</t>
        </is>
      </c>
      <c r="C363" s="16" t="inlineStr">
        <is>
          <t>Lab Consumables</t>
        </is>
      </c>
      <c r="D363" s="16" t="inlineStr">
        <is>
          <t>Relay</t>
        </is>
      </c>
      <c r="E363" s="16" t="inlineStr">
        <is>
          <t>NO</t>
        </is>
      </c>
      <c r="F363" s="16" t="inlineStr">
        <is>
          <t>D2-2</t>
        </is>
      </c>
      <c r="G363" s="16" t="n"/>
      <c r="H363" s="16" t="n"/>
      <c r="I363" s="16" t="n">
        <v>12</v>
      </c>
      <c r="J363" s="16" t="inlineStr">
        <is>
          <t>Yes</t>
        </is>
      </c>
      <c r="K363" s="16" t="n"/>
    </row>
    <row r="364" ht="15" customHeight="1" s="13">
      <c r="A364" s="16" t="inlineStr">
        <is>
          <t>701/L4886</t>
        </is>
      </c>
      <c r="B364" s="16" t="n"/>
      <c r="C364" s="16" t="inlineStr">
        <is>
          <t>Lab Consumables</t>
        </is>
      </c>
      <c r="D364" s="16" t="inlineStr">
        <is>
          <t>WH Misc</t>
        </is>
      </c>
      <c r="E364" s="16" t="inlineStr">
        <is>
          <t>NO</t>
        </is>
      </c>
      <c r="F364" s="16" t="inlineStr">
        <is>
          <t>D2-2</t>
        </is>
      </c>
      <c r="G364" s="16" t="n"/>
      <c r="H364" s="16" t="n"/>
      <c r="I364" s="16" t="n">
        <v>2</v>
      </c>
      <c r="J364" s="16" t="inlineStr">
        <is>
          <t>Yes</t>
        </is>
      </c>
      <c r="K364" s="16" t="n"/>
    </row>
    <row r="365" ht="15" customHeight="1" s="13">
      <c r="A365" s="16" t="inlineStr">
        <is>
          <t>701/L4887</t>
        </is>
      </c>
      <c r="B365" s="16" t="inlineStr">
        <is>
          <t>Carling Switch</t>
        </is>
      </c>
      <c r="C365" s="16" t="inlineStr">
        <is>
          <t>Lab Consumables</t>
        </is>
      </c>
      <c r="D365" s="16" t="inlineStr">
        <is>
          <t>WH Misc</t>
        </is>
      </c>
      <c r="E365" s="16" t="inlineStr">
        <is>
          <t>NO</t>
        </is>
      </c>
      <c r="F365" s="16" t="inlineStr">
        <is>
          <t>D2-2</t>
        </is>
      </c>
      <c r="G365" s="16" t="n"/>
      <c r="H365" s="16" t="n"/>
      <c r="I365" s="16" t="n">
        <v>4</v>
      </c>
      <c r="J365" s="16" t="inlineStr">
        <is>
          <t>Yes</t>
        </is>
      </c>
      <c r="K365" s="16" t="n"/>
    </row>
    <row r="366" ht="15" customHeight="1" s="13">
      <c r="A366" s="16" t="inlineStr">
        <is>
          <t>400/T4274</t>
        </is>
      </c>
      <c r="B366" s="16" t="n"/>
      <c r="C366" s="16" t="inlineStr">
        <is>
          <t>Lab Consumables</t>
        </is>
      </c>
      <c r="D366" s="16" t="inlineStr">
        <is>
          <t>WH Misc</t>
        </is>
      </c>
      <c r="E366" s="16" t="inlineStr">
        <is>
          <t>NO</t>
        </is>
      </c>
      <c r="F366" s="16" t="inlineStr">
        <is>
          <t>D2-2</t>
        </is>
      </c>
      <c r="G366" s="16" t="n"/>
      <c r="H366" s="16" t="n"/>
      <c r="I366" s="16" t="n">
        <v>2</v>
      </c>
      <c r="J366" s="16" t="inlineStr">
        <is>
          <t>Yes</t>
        </is>
      </c>
      <c r="K366" s="16" t="n"/>
    </row>
    <row r="367" ht="15" customHeight="1" s="13">
      <c r="A367" s="16" t="inlineStr">
        <is>
          <t>696/01479</t>
        </is>
      </c>
      <c r="B367" s="16" t="n"/>
      <c r="C367" s="16" t="inlineStr">
        <is>
          <t>Lab Consumables</t>
        </is>
      </c>
      <c r="D367" s="16" t="inlineStr">
        <is>
          <t>WH Misc</t>
        </is>
      </c>
      <c r="E367" s="16" t="inlineStr">
        <is>
          <t>NO</t>
        </is>
      </c>
      <c r="F367" s="16" t="inlineStr">
        <is>
          <t>D2-2</t>
        </is>
      </c>
      <c r="G367" s="16" t="n"/>
      <c r="H367" s="16" t="n"/>
      <c r="I367" s="16" t="n"/>
      <c r="J367" s="16" t="inlineStr">
        <is>
          <t>Yes</t>
        </is>
      </c>
      <c r="K367" s="16" t="n"/>
    </row>
    <row r="368" ht="15" customHeight="1" s="13">
      <c r="A368" s="16" t="inlineStr">
        <is>
          <t>7214/0030</t>
        </is>
      </c>
      <c r="B368" s="16" t="inlineStr">
        <is>
          <t>4 Way DTM04 Wedge</t>
        </is>
      </c>
      <c r="C368" s="16" t="inlineStr">
        <is>
          <t>Lab Consumables</t>
        </is>
      </c>
      <c r="D368" s="16" t="inlineStr">
        <is>
          <t>WH Misc</t>
        </is>
      </c>
      <c r="E368" s="16" t="inlineStr">
        <is>
          <t>NO</t>
        </is>
      </c>
      <c r="F368" s="16" t="inlineStr">
        <is>
          <t>D2-1</t>
        </is>
      </c>
      <c r="G368" s="16" t="n"/>
      <c r="H368" s="16" t="n"/>
      <c r="I368" s="16" t="n">
        <v>15</v>
      </c>
      <c r="J368" s="16" t="inlineStr">
        <is>
          <t>Yes</t>
        </is>
      </c>
      <c r="K368" s="16" t="n"/>
    </row>
    <row r="369" ht="15" customHeight="1" s="13">
      <c r="A369" s="16" t="inlineStr">
        <is>
          <t>7219/0442</t>
        </is>
      </c>
      <c r="B369" s="16" t="inlineStr">
        <is>
          <t>48W HYBRID NTSEAL SKT HSG KEY A BLACK</t>
        </is>
      </c>
      <c r="C369" s="16" t="inlineStr">
        <is>
          <t>Lab Consumables</t>
        </is>
      </c>
      <c r="D369" s="16" t="inlineStr">
        <is>
          <t>Wire Seal</t>
        </is>
      </c>
      <c r="E369" s="16" t="inlineStr">
        <is>
          <t>NO</t>
        </is>
      </c>
      <c r="F369" s="16" t="inlineStr">
        <is>
          <t>D2-1</t>
        </is>
      </c>
      <c r="G369" s="16" t="n"/>
      <c r="H369" s="16" t="n"/>
      <c r="I369" s="16" t="n">
        <v>10</v>
      </c>
      <c r="J369" s="16" t="inlineStr">
        <is>
          <t>Yes</t>
        </is>
      </c>
      <c r="K369" s="16" t="n"/>
    </row>
    <row r="370" ht="15" customHeight="1" s="13">
      <c r="A370" s="16" t="inlineStr">
        <is>
          <t>332/T4409</t>
        </is>
      </c>
      <c r="B370" s="16" t="inlineStr">
        <is>
          <t>26 Way Superseal 1.0 SKT HSG Key 1</t>
        </is>
      </c>
      <c r="C370" s="16" t="inlineStr">
        <is>
          <t>Lab Consumables</t>
        </is>
      </c>
      <c r="D370" s="16" t="inlineStr">
        <is>
          <t>Wire Seal</t>
        </is>
      </c>
      <c r="E370" s="16" t="inlineStr">
        <is>
          <t>NO</t>
        </is>
      </c>
      <c r="F370" s="16" t="inlineStr">
        <is>
          <t>D2-1</t>
        </is>
      </c>
      <c r="G370" s="16" t="n"/>
      <c r="H370" s="16" t="n"/>
      <c r="I370" s="16" t="n">
        <v>3</v>
      </c>
      <c r="J370" s="16" t="inlineStr">
        <is>
          <t>Yes</t>
        </is>
      </c>
      <c r="K370" s="16" t="n"/>
    </row>
    <row r="371" ht="15" customHeight="1" s="13">
      <c r="A371" s="16" t="inlineStr">
        <is>
          <t>7204/0036</t>
        </is>
      </c>
      <c r="B371" s="16" t="inlineStr">
        <is>
          <t>0.35-1.5 Size 20 Pin Terminal</t>
        </is>
      </c>
      <c r="C371" s="16" t="inlineStr">
        <is>
          <t>Lab Consumables</t>
        </is>
      </c>
      <c r="D371" s="16" t="inlineStr">
        <is>
          <t>Terminal</t>
        </is>
      </c>
      <c r="E371" s="16" t="inlineStr">
        <is>
          <t>NO</t>
        </is>
      </c>
      <c r="F371" s="16" t="inlineStr">
        <is>
          <t>D2-1</t>
        </is>
      </c>
      <c r="G371" s="16" t="n"/>
      <c r="H371" s="16" t="n"/>
      <c r="I371" s="16" t="n">
        <v>220</v>
      </c>
      <c r="J371" s="16" t="inlineStr">
        <is>
          <t>Yes</t>
        </is>
      </c>
      <c r="K371" s="16" t="n"/>
    </row>
    <row r="372" ht="15" customHeight="1" s="13">
      <c r="A372" s="16" t="inlineStr">
        <is>
          <t>7204/0027</t>
        </is>
      </c>
      <c r="B372" s="16" t="inlineStr">
        <is>
          <t>0.5-1.0 DT Size 16 Pin Terminal Tin</t>
        </is>
      </c>
      <c r="C372" s="16" t="inlineStr">
        <is>
          <t>Lab Consumables</t>
        </is>
      </c>
      <c r="D372" s="16" t="inlineStr">
        <is>
          <t>Terminal</t>
        </is>
      </c>
      <c r="E372" s="16" t="inlineStr">
        <is>
          <t>NO</t>
        </is>
      </c>
      <c r="F372" s="16" t="inlineStr">
        <is>
          <t>PENDING</t>
        </is>
      </c>
      <c r="G372" s="16" t="n"/>
      <c r="H372" s="16" t="n"/>
      <c r="I372" s="16" t="n">
        <v>200</v>
      </c>
      <c r="J372" s="16" t="inlineStr">
        <is>
          <t>Yes</t>
        </is>
      </c>
      <c r="K372" s="16" t="n"/>
    </row>
    <row r="373" ht="15" customHeight="1" s="13">
      <c r="A373" s="16" t="inlineStr">
        <is>
          <t>401/K4978</t>
        </is>
      </c>
      <c r="B373" s="16" t="inlineStr">
        <is>
          <t>12 Way DT04 Flange Pin Housing</t>
        </is>
      </c>
      <c r="C373" s="16" t="inlineStr">
        <is>
          <t>Lab Consumables</t>
        </is>
      </c>
      <c r="D373" s="16" t="inlineStr">
        <is>
          <t>WH Misc</t>
        </is>
      </c>
      <c r="E373" s="16" t="inlineStr">
        <is>
          <t>NO</t>
        </is>
      </c>
      <c r="F373" s="16" t="inlineStr">
        <is>
          <t>D2-1</t>
        </is>
      </c>
      <c r="G373" s="16" t="n"/>
      <c r="H373" s="16" t="n"/>
      <c r="I373" s="16" t="n">
        <v>5</v>
      </c>
      <c r="J373" s="16" t="inlineStr">
        <is>
          <t>Yes</t>
        </is>
      </c>
      <c r="K373" s="16" t="n"/>
    </row>
    <row r="374" ht="15" customHeight="1" s="13">
      <c r="A374" s="16" t="inlineStr">
        <is>
          <t>7201/0120</t>
        </is>
      </c>
      <c r="B374" s="16" t="inlineStr">
        <is>
          <t>0.50-1.50mm² Size 20 Socket Terminal Gold</t>
        </is>
      </c>
      <c r="C374" s="16" t="inlineStr">
        <is>
          <t>Lab Consumables</t>
        </is>
      </c>
      <c r="D374" s="16" t="inlineStr">
        <is>
          <t>Terminal</t>
        </is>
      </c>
      <c r="E374" s="16" t="inlineStr">
        <is>
          <t>NO</t>
        </is>
      </c>
      <c r="F374" s="16" t="inlineStr">
        <is>
          <t>D2-1</t>
        </is>
      </c>
      <c r="G374" s="16" t="n"/>
      <c r="H374" s="16" t="n"/>
      <c r="I374" s="16" t="n">
        <v>100</v>
      </c>
      <c r="J374" s="16" t="inlineStr">
        <is>
          <t>Yes</t>
        </is>
      </c>
      <c r="K374" s="16" t="n"/>
    </row>
    <row r="375" ht="15" customHeight="1" s="13">
      <c r="A375" s="16" t="inlineStr">
        <is>
          <t>7214/0029</t>
        </is>
      </c>
      <c r="B375" s="16" t="inlineStr">
        <is>
          <t>4 Way DTM04 Pin Housing</t>
        </is>
      </c>
      <c r="C375" s="16" t="inlineStr">
        <is>
          <t>Lab Consumables</t>
        </is>
      </c>
      <c r="D375" s="16" t="inlineStr">
        <is>
          <t>WH Misc</t>
        </is>
      </c>
      <c r="E375" s="16" t="inlineStr">
        <is>
          <t>NO</t>
        </is>
      </c>
      <c r="F375" s="16" t="inlineStr">
        <is>
          <t>D2-1</t>
        </is>
      </c>
      <c r="G375" s="16" t="n"/>
      <c r="H375" s="16" t="n"/>
      <c r="I375" s="16" t="n">
        <v>10</v>
      </c>
      <c r="J375" s="16" t="inlineStr">
        <is>
          <t>Yes</t>
        </is>
      </c>
      <c r="K375" s="16" t="n"/>
    </row>
    <row r="376" ht="15" customHeight="1" s="13">
      <c r="A376" s="16" t="inlineStr">
        <is>
          <t>7204/0037</t>
        </is>
      </c>
      <c r="B376" s="16" t="inlineStr">
        <is>
          <t>0.35-1.5 Size 20 Pin Terminal Gold</t>
        </is>
      </c>
      <c r="C376" s="16" t="inlineStr">
        <is>
          <t>Lab Consumables</t>
        </is>
      </c>
      <c r="D376" s="16" t="inlineStr">
        <is>
          <t>Terminal</t>
        </is>
      </c>
      <c r="E376" s="16" t="inlineStr">
        <is>
          <t>NO</t>
        </is>
      </c>
      <c r="F376" s="16" t="inlineStr">
        <is>
          <t>D2-1</t>
        </is>
      </c>
      <c r="G376" s="16" t="n"/>
      <c r="H376" s="16" t="n"/>
      <c r="I376" s="16" t="n">
        <v>100</v>
      </c>
      <c r="J376" s="16" t="inlineStr">
        <is>
          <t>Yes</t>
        </is>
      </c>
      <c r="K376" s="16" t="n"/>
    </row>
    <row r="377" ht="15" customHeight="1" s="13">
      <c r="A377" s="16" t="inlineStr">
        <is>
          <t>7204/0025</t>
        </is>
      </c>
      <c r="B377" s="16" t="inlineStr">
        <is>
          <t>0.75-2.0 DT Size 16 Pin Term Nickel OD 2.41-3.81</t>
        </is>
      </c>
      <c r="C377" s="16" t="inlineStr">
        <is>
          <t>Lab Consumables</t>
        </is>
      </c>
      <c r="D377" s="16" t="inlineStr">
        <is>
          <t>WH Misc</t>
        </is>
      </c>
      <c r="E377" s="16" t="inlineStr">
        <is>
          <t>NO</t>
        </is>
      </c>
      <c r="F377" s="16" t="inlineStr">
        <is>
          <t>D2-1</t>
        </is>
      </c>
      <c r="G377" s="16" t="n"/>
      <c r="H377" s="16" t="n"/>
      <c r="I377" s="16" t="n">
        <v>70</v>
      </c>
      <c r="J377" s="16" t="inlineStr">
        <is>
          <t>Yes</t>
        </is>
      </c>
      <c r="K377" s="16" t="n"/>
    </row>
    <row r="378" ht="15" customHeight="1" s="13">
      <c r="A378" s="16" t="inlineStr">
        <is>
          <t>7201/1133</t>
        </is>
      </c>
      <c r="B378" s="16" t="inlineStr">
        <is>
          <t>1.00-1.50mm2 MCON 1.2 SKT Term</t>
        </is>
      </c>
      <c r="C378" s="16" t="inlineStr">
        <is>
          <t>Lab Consumables</t>
        </is>
      </c>
      <c r="D378" s="16" t="inlineStr">
        <is>
          <t>WH Misc</t>
        </is>
      </c>
      <c r="E378" s="16" t="inlineStr">
        <is>
          <t>NO</t>
        </is>
      </c>
      <c r="F378" s="16" t="inlineStr">
        <is>
          <t>D2-1</t>
        </is>
      </c>
      <c r="G378" s="16" t="n"/>
      <c r="H378" s="16" t="n"/>
      <c r="I378" s="16" t="n">
        <v>100</v>
      </c>
      <c r="J378" s="16" t="inlineStr">
        <is>
          <t>Yes</t>
        </is>
      </c>
      <c r="K378" s="16" t="n"/>
    </row>
    <row r="379" ht="15" customHeight="1" s="13">
      <c r="A379" s="16" t="inlineStr">
        <is>
          <t>7204/0258</t>
        </is>
      </c>
      <c r="B379" s="16" t="inlineStr">
        <is>
          <t>0.5-0.75mm2 MCON 1.2 Pin Term</t>
        </is>
      </c>
      <c r="C379" s="16" t="inlineStr">
        <is>
          <t>Lab Consumables</t>
        </is>
      </c>
      <c r="D379" s="16" t="inlineStr">
        <is>
          <t>WH Misc</t>
        </is>
      </c>
      <c r="E379" s="16" t="inlineStr">
        <is>
          <t>NO</t>
        </is>
      </c>
      <c r="F379" s="16" t="inlineStr">
        <is>
          <t>D2-1</t>
        </is>
      </c>
      <c r="G379" s="16" t="n"/>
      <c r="H379" s="16" t="n"/>
      <c r="I379" s="16" t="n">
        <v>100</v>
      </c>
      <c r="J379" s="16" t="inlineStr">
        <is>
          <t>Yes</t>
        </is>
      </c>
      <c r="K379" s="16" t="n"/>
    </row>
    <row r="380" ht="15" customHeight="1" s="13">
      <c r="A380" s="16" t="inlineStr">
        <is>
          <t>7210/0264</t>
        </is>
      </c>
      <c r="B380" s="16" t="inlineStr">
        <is>
          <t>Cavity Plug MCON1.2 Brown</t>
        </is>
      </c>
      <c r="C380" s="16" t="inlineStr">
        <is>
          <t>Lab Consumables</t>
        </is>
      </c>
      <c r="D380" s="16" t="inlineStr">
        <is>
          <t>Cavity Plug</t>
        </is>
      </c>
      <c r="E380" s="16" t="inlineStr">
        <is>
          <t>NO</t>
        </is>
      </c>
      <c r="F380" s="16" t="inlineStr">
        <is>
          <t>D2-1</t>
        </is>
      </c>
      <c r="G380" s="16" t="n"/>
      <c r="H380" s="16" t="n"/>
      <c r="I380" s="16" t="n">
        <v>10</v>
      </c>
      <c r="J380" s="16" t="inlineStr">
        <is>
          <t>Yes</t>
        </is>
      </c>
      <c r="K380" s="16" t="n"/>
    </row>
    <row r="381" ht="15" customHeight="1" s="13">
      <c r="A381" s="16" t="inlineStr">
        <is>
          <t>P_SP_ELEC_COM_770</t>
        </is>
      </c>
      <c r="B381" s="16" t="inlineStr">
        <is>
          <t>Heat shrink sleeve - 1 sqr mm</t>
        </is>
      </c>
      <c r="C381" s="16" t="inlineStr">
        <is>
          <t>Lab Consumables</t>
        </is>
      </c>
      <c r="D381" s="16" t="inlineStr">
        <is>
          <t>HST</t>
        </is>
      </c>
      <c r="E381" s="16" t="inlineStr">
        <is>
          <t>M</t>
        </is>
      </c>
      <c r="F381" s="16" t="inlineStr">
        <is>
          <t>EDS CUPBOARD</t>
        </is>
      </c>
      <c r="G381" s="16" t="n"/>
      <c r="H381" s="16" t="n">
        <v>13.5</v>
      </c>
      <c r="I381" s="16" t="n">
        <v>1000</v>
      </c>
      <c r="J381" s="16" t="inlineStr">
        <is>
          <t>Yes</t>
        </is>
      </c>
      <c r="K381" s="16" t="n"/>
    </row>
    <row r="382" ht="15" customHeight="1" s="13">
      <c r="A382" s="16" t="inlineStr">
        <is>
          <t>P_SP_CABL_POL_141</t>
        </is>
      </c>
      <c r="B382" s="16" t="inlineStr">
        <is>
          <t>2.MM HEAT SHRINKABLE TUBE</t>
        </is>
      </c>
      <c r="C382" s="16" t="inlineStr">
        <is>
          <t>Lab Consumables</t>
        </is>
      </c>
      <c r="D382" s="16" t="inlineStr">
        <is>
          <t>HST</t>
        </is>
      </c>
      <c r="E382" s="16" t="inlineStr">
        <is>
          <t>M</t>
        </is>
      </c>
      <c r="F382" s="16" t="inlineStr">
        <is>
          <t>EDS CUPBOARD</t>
        </is>
      </c>
      <c r="G382" s="16" t="n"/>
      <c r="H382" s="16" t="n">
        <v>18</v>
      </c>
      <c r="I382" s="16" t="n">
        <v>1000</v>
      </c>
      <c r="J382" s="16" t="inlineStr">
        <is>
          <t>Yes</t>
        </is>
      </c>
      <c r="K382" s="16" t="n"/>
    </row>
    <row r="383" ht="15" customHeight="1" s="13">
      <c r="A383" s="16" t="inlineStr">
        <is>
          <t>P_SP_CABL_POL_142</t>
        </is>
      </c>
      <c r="B383" s="16" t="inlineStr">
        <is>
          <t>3.MM HEAT SHRINKABLE TUBE</t>
        </is>
      </c>
      <c r="C383" s="16" t="inlineStr">
        <is>
          <t>Lab Consumables</t>
        </is>
      </c>
      <c r="D383" s="16" t="inlineStr">
        <is>
          <t>HST</t>
        </is>
      </c>
      <c r="E383" s="16" t="inlineStr">
        <is>
          <t>M</t>
        </is>
      </c>
      <c r="F383" s="16" t="inlineStr">
        <is>
          <t>EDS CUPBOARD</t>
        </is>
      </c>
      <c r="G383" s="16" t="n"/>
      <c r="H383" s="16" t="n">
        <v>22.5</v>
      </c>
      <c r="I383" s="16" t="n">
        <v>500</v>
      </c>
      <c r="J383" s="16" t="inlineStr">
        <is>
          <t>Yes</t>
        </is>
      </c>
      <c r="K383" s="16" t="n"/>
    </row>
    <row r="384" ht="15" customHeight="1" s="13">
      <c r="A384" s="16" t="inlineStr">
        <is>
          <t>P_SP_ELEC_COM_772</t>
        </is>
      </c>
      <c r="B384" s="16" t="inlineStr">
        <is>
          <t>Heat shrink sleeve - 4 sqr mm</t>
        </is>
      </c>
      <c r="C384" s="16" t="inlineStr">
        <is>
          <t>Lab Consumables</t>
        </is>
      </c>
      <c r="D384" s="16" t="inlineStr">
        <is>
          <t>HST</t>
        </is>
      </c>
      <c r="E384" s="16" t="inlineStr">
        <is>
          <t>M</t>
        </is>
      </c>
      <c r="F384" s="16" t="inlineStr">
        <is>
          <t>EDS CUPBOARD</t>
        </is>
      </c>
      <c r="G384" s="16" t="n"/>
      <c r="H384" s="16" t="n">
        <v>25.2</v>
      </c>
      <c r="I384" s="16" t="n">
        <v>300</v>
      </c>
      <c r="J384" s="16" t="inlineStr">
        <is>
          <t>Yes</t>
        </is>
      </c>
      <c r="K384" s="16" t="n"/>
    </row>
    <row r="385" ht="15" customHeight="1" s="13">
      <c r="A385" s="16" t="inlineStr">
        <is>
          <t>P_SP_MATH_MAI_208</t>
        </is>
      </c>
      <c r="B385" s="16" t="inlineStr">
        <is>
          <t>Crocodile Clips Pair Fronius</t>
        </is>
      </c>
      <c r="C385" s="16" t="inlineStr">
        <is>
          <t>Lab Consumables</t>
        </is>
      </c>
      <c r="D385" s="16" t="inlineStr">
        <is>
          <t>Clips/Straps</t>
        </is>
      </c>
      <c r="E385" s="16" t="inlineStr">
        <is>
          <t>EACH</t>
        </is>
      </c>
      <c r="F385" s="16" t="inlineStr">
        <is>
          <t>EDS CUPBOARD</t>
        </is>
      </c>
      <c r="G385" s="16" t="n"/>
      <c r="H385" s="16" t="n">
        <v>23.75</v>
      </c>
      <c r="I385" s="16" t="n">
        <v>10</v>
      </c>
      <c r="J385" s="16" t="inlineStr">
        <is>
          <t>Yes</t>
        </is>
      </c>
      <c r="K385" s="16" t="n"/>
    </row>
    <row r="386" ht="15" customHeight="1" s="13">
      <c r="A386" s="16" t="inlineStr">
        <is>
          <t>P_CON_GEN_GEN_115</t>
        </is>
      </c>
      <c r="B386" s="16" t="inlineStr">
        <is>
          <t>BANANA CLAMP</t>
        </is>
      </c>
      <c r="C386" s="16" t="inlineStr">
        <is>
          <t>Lab Consumables</t>
        </is>
      </c>
      <c r="D386" s="16" t="inlineStr">
        <is>
          <t>WH Misc</t>
        </is>
      </c>
      <c r="E386" s="16" t="inlineStr">
        <is>
          <t>EACH</t>
        </is>
      </c>
      <c r="F386" s="16" t="inlineStr">
        <is>
          <t>EDS CUPBOARD</t>
        </is>
      </c>
      <c r="G386" s="16" t="n"/>
      <c r="H386" s="16" t="n">
        <v>27.55</v>
      </c>
      <c r="I386" s="16" t="n">
        <v>50</v>
      </c>
      <c r="J386" s="16" t="inlineStr">
        <is>
          <t>Yes</t>
        </is>
      </c>
      <c r="K386" s="16" t="n"/>
    </row>
    <row r="387" ht="15" customHeight="1" s="13">
      <c r="A387" s="16" t="inlineStr">
        <is>
          <t>400/E3562</t>
        </is>
      </c>
      <c r="B387" s="16" t="inlineStr">
        <is>
          <t>ANGLE SENSOR - 120DEG DUAL OUTPUT</t>
        </is>
      </c>
      <c r="C387" s="16" t="inlineStr">
        <is>
          <t>Lab Consumables</t>
        </is>
      </c>
      <c r="D387" s="16" t="inlineStr">
        <is>
          <t>WH Misc</t>
        </is>
      </c>
      <c r="E387" s="16" t="inlineStr">
        <is>
          <t>NO</t>
        </is>
      </c>
      <c r="F387" s="16" t="inlineStr">
        <is>
          <t>D2-1</t>
        </is>
      </c>
      <c r="G387" s="16" t="n"/>
      <c r="H387" s="16" t="n"/>
      <c r="I387" s="16" t="n">
        <v>5</v>
      </c>
      <c r="J387" s="16" t="inlineStr">
        <is>
          <t>Yes</t>
        </is>
      </c>
      <c r="K387" s="16" t="n"/>
    </row>
    <row r="388" ht="15" customHeight="1" s="13">
      <c r="A388" s="16" t="inlineStr">
        <is>
          <t>717/07023</t>
        </is>
      </c>
      <c r="B388" s="16" t="inlineStr">
        <is>
          <t>RADIO BT CAN DAB EU ABI P472</t>
        </is>
      </c>
      <c r="C388" s="16" t="inlineStr">
        <is>
          <t>Lab Consumables</t>
        </is>
      </c>
      <c r="D388" s="16" t="inlineStr">
        <is>
          <t>WH Misc</t>
        </is>
      </c>
      <c r="E388" s="16" t="inlineStr">
        <is>
          <t>NO</t>
        </is>
      </c>
      <c r="F388" s="16" t="inlineStr">
        <is>
          <t>HANDOVER TO CHITTA</t>
        </is>
      </c>
      <c r="G388" s="16" t="n"/>
      <c r="H388" s="16" t="n"/>
      <c r="I388" s="16" t="n">
        <v>1</v>
      </c>
      <c r="J388" s="16" t="inlineStr">
        <is>
          <t>Yes</t>
        </is>
      </c>
      <c r="K388" s="16" t="n"/>
    </row>
    <row r="389" ht="15" customHeight="1" s="13">
      <c r="A389" s="16" t="inlineStr">
        <is>
          <t>7201/0832</t>
        </is>
      </c>
      <c r="B389" s="16" t="inlineStr">
        <is>
          <t>0.75mm² CP0.6 CMC fem term tin</t>
        </is>
      </c>
      <c r="C389" s="16" t="inlineStr">
        <is>
          <t>Lab Consumables</t>
        </is>
      </c>
      <c r="D389" s="16" t="inlineStr">
        <is>
          <t>WH Misc</t>
        </is>
      </c>
      <c r="E389" s="16" t="inlineStr">
        <is>
          <t>EACH</t>
        </is>
      </c>
      <c r="F389" s="16" t="inlineStr">
        <is>
          <t>D3-1 (POUCH 1)</t>
        </is>
      </c>
      <c r="G389" s="16" t="inlineStr">
        <is>
          <t>RS Components&amp; Controls (I) Ltd.</t>
        </is>
      </c>
      <c r="H389" s="16" t="n">
        <v>23.25</v>
      </c>
      <c r="I389" s="16" t="n">
        <v>100</v>
      </c>
      <c r="J389" s="16" t="inlineStr">
        <is>
          <t>Yes</t>
        </is>
      </c>
      <c r="K389" s="16" t="n"/>
    </row>
    <row r="390" ht="15" customHeight="1" s="13">
      <c r="A390" s="16" t="inlineStr">
        <is>
          <t>7243/0453</t>
        </is>
      </c>
      <c r="B390" s="16" t="inlineStr">
        <is>
          <t>48 Way CMC Adapter 45 Deg</t>
        </is>
      </c>
      <c r="C390" s="16" t="inlineStr">
        <is>
          <t>Lab Consumables</t>
        </is>
      </c>
      <c r="D390" s="16" t="inlineStr">
        <is>
          <t>WH Misc</t>
        </is>
      </c>
      <c r="E390" s="16" t="inlineStr">
        <is>
          <t>EACH</t>
        </is>
      </c>
      <c r="F390" s="16" t="inlineStr">
        <is>
          <t>D3-1</t>
        </is>
      </c>
      <c r="G390" s="16" t="inlineStr">
        <is>
          <t>RS Components&amp; Controls (I) Ltd.</t>
        </is>
      </c>
      <c r="H390" s="16" t="n">
        <v>116</v>
      </c>
      <c r="I390" s="16" t="n">
        <v>10</v>
      </c>
      <c r="J390" s="16" t="inlineStr">
        <is>
          <t>Yes</t>
        </is>
      </c>
      <c r="K390" s="16" t="n"/>
    </row>
    <row r="391" ht="15" customHeight="1" s="13">
      <c r="A391" s="16" t="inlineStr">
        <is>
          <t>332/D4893</t>
        </is>
      </c>
      <c r="B391" s="16" t="inlineStr">
        <is>
          <t>1.25-2.00mm² MX150 SKT Terminal Tin</t>
        </is>
      </c>
      <c r="C391" s="16" t="inlineStr">
        <is>
          <t>Lab Consumables</t>
        </is>
      </c>
      <c r="D391" s="16" t="inlineStr">
        <is>
          <t>Terminal</t>
        </is>
      </c>
      <c r="E391" s="16" t="inlineStr">
        <is>
          <t>EACH</t>
        </is>
      </c>
      <c r="F391" s="16" t="inlineStr">
        <is>
          <t>D3-1 (POUCH 1)</t>
        </is>
      </c>
      <c r="G391" s="16" t="inlineStr">
        <is>
          <t>RS Components&amp; Controls (I) Ltd.</t>
        </is>
      </c>
      <c r="H391" s="16" t="n">
        <v>9.970000000000001</v>
      </c>
      <c r="I391" s="16" t="n">
        <v>100</v>
      </c>
      <c r="J391" s="16" t="inlineStr">
        <is>
          <t>Yes</t>
        </is>
      </c>
      <c r="K391" s="16" t="n"/>
    </row>
    <row r="392" ht="15" customHeight="1" s="13">
      <c r="A392" s="16" t="inlineStr">
        <is>
          <t>7216/0043</t>
        </is>
      </c>
      <c r="B392" s="16" t="inlineStr">
        <is>
          <t>6 WAY MX150 SOCKET HOUSING</t>
        </is>
      </c>
      <c r="C392" s="16" t="inlineStr">
        <is>
          <t>Lab Consumables</t>
        </is>
      </c>
      <c r="D392" s="16" t="inlineStr">
        <is>
          <t>WH Misc</t>
        </is>
      </c>
      <c r="E392" s="16" t="inlineStr">
        <is>
          <t>EACH</t>
        </is>
      </c>
      <c r="F392" s="16" t="inlineStr">
        <is>
          <t>D3-1</t>
        </is>
      </c>
      <c r="G392" s="16" t="inlineStr">
        <is>
          <t>RS Components&amp; Controls (I) Ltd.</t>
        </is>
      </c>
      <c r="H392" s="16" t="n">
        <v>191.15</v>
      </c>
      <c r="I392" s="16" t="n">
        <v>10</v>
      </c>
      <c r="J392" s="16" t="inlineStr">
        <is>
          <t>Yes</t>
        </is>
      </c>
      <c r="K392" s="16" t="n"/>
    </row>
    <row r="393" ht="15" customHeight="1" s="13">
      <c r="A393" s="16" t="inlineStr">
        <is>
          <t>7201/0831</t>
        </is>
      </c>
      <c r="B393" s="16" t="inlineStr">
        <is>
          <t>0.50mm² CP0.6 CMC fem term tin</t>
        </is>
      </c>
      <c r="C393" s="16" t="inlineStr">
        <is>
          <t>Lab Consumables</t>
        </is>
      </c>
      <c r="D393" s="16" t="inlineStr">
        <is>
          <t>WH Misc</t>
        </is>
      </c>
      <c r="E393" s="16" t="inlineStr">
        <is>
          <t>EACH</t>
        </is>
      </c>
      <c r="F393" s="16" t="inlineStr">
        <is>
          <t>D3-1 (POUCH 1)</t>
        </is>
      </c>
      <c r="G393" s="16" t="inlineStr">
        <is>
          <t>RS Components&amp; Controls (I) Ltd.</t>
        </is>
      </c>
      <c r="H393" s="16" t="n">
        <v>21.8</v>
      </c>
      <c r="I393" s="16" t="n">
        <v>100</v>
      </c>
      <c r="J393" s="16" t="inlineStr">
        <is>
          <t>Yes</t>
        </is>
      </c>
      <c r="K393" s="16" t="n"/>
    </row>
    <row r="394" ht="15" customHeight="1" s="13">
      <c r="A394" s="16" t="inlineStr">
        <is>
          <t>7201/0833</t>
        </is>
      </c>
      <c r="B394" s="16" t="inlineStr">
        <is>
          <t>0.50-1.00mm² CP1.5 CMC fem term tin</t>
        </is>
      </c>
      <c r="C394" s="16" t="inlineStr">
        <is>
          <t>Lab Consumables</t>
        </is>
      </c>
      <c r="D394" s="16" t="inlineStr">
        <is>
          <t>WH Misc</t>
        </is>
      </c>
      <c r="E394" s="16" t="inlineStr">
        <is>
          <t>EACH</t>
        </is>
      </c>
      <c r="F394" s="16" t="inlineStr">
        <is>
          <t>D3-1 (POUCH 1)</t>
        </is>
      </c>
      <c r="G394" s="16" t="inlineStr">
        <is>
          <t>RS Components&amp; Controls (I) Ltd.</t>
        </is>
      </c>
      <c r="H394" s="16" t="n">
        <v>36.14</v>
      </c>
      <c r="I394" s="16" t="n">
        <v>25</v>
      </c>
      <c r="J394" s="16" t="inlineStr">
        <is>
          <t>Yes</t>
        </is>
      </c>
      <c r="K394" s="16" t="n"/>
    </row>
    <row r="395" ht="15" customHeight="1" s="13">
      <c r="A395" s="16" t="inlineStr">
        <is>
          <t>332/D4903</t>
        </is>
      </c>
      <c r="B395" s="16" t="inlineStr">
        <is>
          <t>0.75-1.00mm² MX150 SKT Terminal Gold</t>
        </is>
      </c>
      <c r="C395" s="16" t="inlineStr">
        <is>
          <t>Lab Consumables</t>
        </is>
      </c>
      <c r="D395" s="16" t="inlineStr">
        <is>
          <t>Terminal</t>
        </is>
      </c>
      <c r="E395" s="16" t="inlineStr">
        <is>
          <t>EACH</t>
        </is>
      </c>
      <c r="F395" s="16" t="inlineStr">
        <is>
          <t>D3-1 (POUCH 1)</t>
        </is>
      </c>
      <c r="G395" s="16" t="inlineStr">
        <is>
          <t>RS Components&amp; Controls (I) Ltd.</t>
        </is>
      </c>
      <c r="H395" s="16" t="n">
        <v>29.76</v>
      </c>
      <c r="I395" s="16" t="n">
        <v>100</v>
      </c>
      <c r="J395" s="16" t="inlineStr">
        <is>
          <t>Yes</t>
        </is>
      </c>
      <c r="K395" s="16" t="n"/>
    </row>
    <row r="396" ht="15" customHeight="1" s="13">
      <c r="A396" s="16" t="inlineStr">
        <is>
          <t>7210/0240</t>
        </is>
      </c>
      <c r="B396" s="16" t="inlineStr">
        <is>
          <t>Cavity Plug CMC Orange</t>
        </is>
      </c>
      <c r="C396" s="16" t="inlineStr">
        <is>
          <t>Lab Consumables</t>
        </is>
      </c>
      <c r="D396" s="16" t="inlineStr">
        <is>
          <t>Cavity Plug</t>
        </is>
      </c>
      <c r="E396" s="16" t="inlineStr">
        <is>
          <t>EACH</t>
        </is>
      </c>
      <c r="F396" s="16" t="inlineStr">
        <is>
          <t>D3-1 (POUCH 1)</t>
        </is>
      </c>
      <c r="G396" s="16" t="inlineStr">
        <is>
          <t>RS Components&amp; Controls (I) Ltd.</t>
        </is>
      </c>
      <c r="H396" s="16" t="n">
        <v>8.94</v>
      </c>
      <c r="I396" s="16" t="n">
        <v>500</v>
      </c>
      <c r="J396" s="16" t="inlineStr">
        <is>
          <t>Yes</t>
        </is>
      </c>
      <c r="K396" s="16" t="n"/>
    </row>
    <row r="397" ht="15" customHeight="1" s="13">
      <c r="A397" s="16" t="inlineStr">
        <is>
          <t>7210/0205</t>
        </is>
      </c>
      <c r="B397" s="16" t="inlineStr">
        <is>
          <t>Cavity Plug SRC/ MX150 White</t>
        </is>
      </c>
      <c r="C397" s="16" t="inlineStr">
        <is>
          <t>Lab Consumables</t>
        </is>
      </c>
      <c r="D397" s="16" t="inlineStr">
        <is>
          <t>Cavity Plug</t>
        </is>
      </c>
      <c r="E397" s="16" t="inlineStr">
        <is>
          <t>EACH</t>
        </is>
      </c>
      <c r="F397" s="16" t="inlineStr">
        <is>
          <t>D3-1 (POUCH 1)</t>
        </is>
      </c>
      <c r="G397" s="16" t="inlineStr">
        <is>
          <t>RS Components&amp; Controls (I) Ltd.</t>
        </is>
      </c>
      <c r="H397" s="16" t="n">
        <v>28.83</v>
      </c>
      <c r="I397" s="16" t="n">
        <v>10</v>
      </c>
      <c r="J397" s="16" t="inlineStr">
        <is>
          <t>Yes</t>
        </is>
      </c>
      <c r="K397" s="16" t="n"/>
    </row>
    <row r="398" ht="15" customHeight="1" s="13">
      <c r="A398" s="16" t="inlineStr">
        <is>
          <t>7210/0239</t>
        </is>
      </c>
      <c r="B398" s="16" t="inlineStr">
        <is>
          <t>Cavity Plug CMC White</t>
        </is>
      </c>
      <c r="C398" s="16" t="inlineStr">
        <is>
          <t>Lab Consumables</t>
        </is>
      </c>
      <c r="D398" s="16" t="inlineStr">
        <is>
          <t>Cavity Plug</t>
        </is>
      </c>
      <c r="E398" s="16" t="inlineStr">
        <is>
          <t>EACH</t>
        </is>
      </c>
      <c r="F398" s="16" t="inlineStr">
        <is>
          <t>D3-1 (POUCH 1)</t>
        </is>
      </c>
      <c r="G398" s="16" t="inlineStr">
        <is>
          <t>RS Components&amp; Controls (I) Ltd.</t>
        </is>
      </c>
      <c r="H398" s="16" t="n">
        <v>7.5</v>
      </c>
      <c r="I398" s="16" t="n">
        <v>100</v>
      </c>
      <c r="J398" s="16" t="inlineStr">
        <is>
          <t>Yes</t>
        </is>
      </c>
      <c r="K398" s="16" t="n"/>
    </row>
    <row r="399" ht="15" customHeight="1" s="13">
      <c r="A399" s="16" t="inlineStr">
        <is>
          <t>7201/1006</t>
        </is>
      </c>
      <c r="B399" s="16" t="inlineStr">
        <is>
          <t>0.35-0.5mm² M-Pack 150 Skt Term</t>
        </is>
      </c>
      <c r="C399" s="16" t="inlineStr">
        <is>
          <t>Lab Consumables</t>
        </is>
      </c>
      <c r="D399" s="16" t="inlineStr">
        <is>
          <t>WH Misc</t>
        </is>
      </c>
      <c r="E399" s="16" t="inlineStr">
        <is>
          <t>EACH</t>
        </is>
      </c>
      <c r="F399" s="16" t="inlineStr">
        <is>
          <t>D3-1 (POUCH 1)</t>
        </is>
      </c>
      <c r="G399" s="16" t="inlineStr">
        <is>
          <t>RS Components&amp; Controls (I) Ltd.</t>
        </is>
      </c>
      <c r="H399" s="16" t="n">
        <v>18.73</v>
      </c>
      <c r="I399" s="16" t="n">
        <v>100</v>
      </c>
      <c r="J399" s="16" t="inlineStr">
        <is>
          <t>Yes</t>
        </is>
      </c>
      <c r="K399" s="16" t="n"/>
    </row>
    <row r="400" ht="15" customHeight="1" s="13">
      <c r="A400" s="16" t="inlineStr">
        <is>
          <t>7201/0765</t>
        </is>
      </c>
      <c r="B400" s="16" t="inlineStr">
        <is>
          <t>0.35-0.5MM2 MX150 FEM TERM TIN</t>
        </is>
      </c>
      <c r="C400" s="16" t="inlineStr">
        <is>
          <t>Lab Consumables</t>
        </is>
      </c>
      <c r="D400" s="16" t="inlineStr">
        <is>
          <t>WH Misc</t>
        </is>
      </c>
      <c r="E400" s="16" t="inlineStr">
        <is>
          <t>EACH</t>
        </is>
      </c>
      <c r="F400" s="16" t="inlineStr">
        <is>
          <t>D3-1 (POUCH 1)</t>
        </is>
      </c>
      <c r="G400" s="16" t="inlineStr">
        <is>
          <t>RS Components&amp; Controls (I) Ltd.</t>
        </is>
      </c>
      <c r="H400" s="16" t="n">
        <v>11.96</v>
      </c>
      <c r="I400" s="16" t="n">
        <v>100</v>
      </c>
      <c r="J400" s="16" t="inlineStr">
        <is>
          <t>Yes</t>
        </is>
      </c>
      <c r="K400" s="16" t="n"/>
    </row>
    <row r="401" ht="15" customHeight="1" s="13">
      <c r="A401" s="16" t="inlineStr">
        <is>
          <t>7219/0284</t>
        </is>
      </c>
      <c r="B401" s="16" t="inlineStr">
        <is>
          <t>48W CMC Mat sealed fem hsg left</t>
        </is>
      </c>
      <c r="C401" s="16" t="inlineStr">
        <is>
          <t>Lab Consumables</t>
        </is>
      </c>
      <c r="D401" s="16" t="inlineStr">
        <is>
          <t>Wire Seal</t>
        </is>
      </c>
      <c r="E401" s="16" t="inlineStr">
        <is>
          <t>EACH</t>
        </is>
      </c>
      <c r="F401" s="16" t="inlineStr">
        <is>
          <t>S-7</t>
        </is>
      </c>
      <c r="G401" s="16" t="n"/>
      <c r="H401" s="16" t="n"/>
      <c r="I401" s="16" t="n">
        <v>10</v>
      </c>
      <c r="J401" s="16" t="inlineStr">
        <is>
          <t>Yes</t>
        </is>
      </c>
      <c r="K401" s="16" t="n"/>
    </row>
    <row r="402" ht="15" customHeight="1" s="13">
      <c r="A402" s="16" t="inlineStr">
        <is>
          <t>MC000SDDFAQGT001</t>
        </is>
      </c>
      <c r="B402" s="16" t="inlineStr">
        <is>
          <t>DOWEL INN EH-4 DIA XX COPPER TUBE ID 1.6</t>
        </is>
      </c>
      <c r="C402" s="16" t="inlineStr">
        <is>
          <t>Lab Consumables</t>
        </is>
      </c>
      <c r="D402" s="16" t="inlineStr">
        <is>
          <t>WH Misc</t>
        </is>
      </c>
      <c r="E402" s="16" t="inlineStr">
        <is>
          <t>NO</t>
        </is>
      </c>
      <c r="F402" s="16" t="inlineStr">
        <is>
          <t>EMC CUPBOARD</t>
        </is>
      </c>
      <c r="G402" s="16" t="n"/>
      <c r="H402" s="16" t="n"/>
      <c r="I402" s="16" t="n">
        <v>1500</v>
      </c>
      <c r="J402" s="16" t="inlineStr">
        <is>
          <t>Yes</t>
        </is>
      </c>
      <c r="K402" s="16" t="n"/>
    </row>
    <row r="403" ht="15" customHeight="1" s="13">
      <c r="A403" s="16" t="inlineStr">
        <is>
          <t>MC000SDFDTGGT001</t>
        </is>
      </c>
      <c r="B403" s="16" t="inlineStr">
        <is>
          <t>DOWEL INN EH-4 DIA XX COPPER TUBE ID 2.4</t>
        </is>
      </c>
      <c r="C403" s="16" t="inlineStr">
        <is>
          <t>Lab Consumables</t>
        </is>
      </c>
      <c r="D403" s="16" t="inlineStr">
        <is>
          <t>WH Misc</t>
        </is>
      </c>
      <c r="E403" s="16" t="inlineStr">
        <is>
          <t>NO</t>
        </is>
      </c>
      <c r="F403" s="16" t="inlineStr">
        <is>
          <t>EMC CUPBOARD</t>
        </is>
      </c>
      <c r="G403" s="16" t="n"/>
      <c r="H403" s="16" t="n"/>
      <c r="I403" s="16" t="n">
        <v>1500</v>
      </c>
      <c r="J403" s="16" t="inlineStr">
        <is>
          <t>Yes</t>
        </is>
      </c>
      <c r="K403" s="16" t="n"/>
    </row>
    <row r="404" ht="15" customHeight="1" s="13">
      <c r="A404" s="16" t="inlineStr">
        <is>
          <t>MC000SDGHFRGT001</t>
        </is>
      </c>
      <c r="B404" s="16" t="inlineStr">
        <is>
          <t>DOWEL INN EH-4 DIA XX INNER DIA 3.5MM</t>
        </is>
      </c>
      <c r="C404" s="16" t="inlineStr">
        <is>
          <t>Lab Consumables</t>
        </is>
      </c>
      <c r="D404" s="16" t="inlineStr">
        <is>
          <t>WH Misc</t>
        </is>
      </c>
      <c r="E404" s="16" t="inlineStr">
        <is>
          <t>NO</t>
        </is>
      </c>
      <c r="F404" s="16" t="inlineStr">
        <is>
          <t>EMC CUPBOARD</t>
        </is>
      </c>
      <c r="G404" s="16" t="n"/>
      <c r="H404" s="16" t="n"/>
      <c r="I404" s="16" t="n">
        <v>1000</v>
      </c>
      <c r="J404" s="16" t="inlineStr">
        <is>
          <t>Yes</t>
        </is>
      </c>
      <c r="K404" s="16" t="n"/>
    </row>
    <row r="405" ht="15" customHeight="1" s="13">
      <c r="A405" s="16" t="inlineStr">
        <is>
          <t>MC000SDJHEDGT002</t>
        </is>
      </c>
      <c r="B405" s="16" t="inlineStr">
        <is>
          <t>DOWEL INN CB-2 DIA XX INNER DIA 8.2MM</t>
        </is>
      </c>
      <c r="C405" s="16" t="inlineStr">
        <is>
          <t>Lab Consumables</t>
        </is>
      </c>
      <c r="D405" s="16" t="inlineStr">
        <is>
          <t>WH Misc</t>
        </is>
      </c>
      <c r="E405" s="16" t="inlineStr">
        <is>
          <t>NO</t>
        </is>
      </c>
      <c r="F405" s="16" t="inlineStr">
        <is>
          <t>EMC CUPBOARD</t>
        </is>
      </c>
      <c r="G405" s="16" t="n"/>
      <c r="H405" s="16" t="n"/>
      <c r="I405" s="16" t="n">
        <v>45</v>
      </c>
      <c r="J405" s="16" t="inlineStr">
        <is>
          <t>Yes</t>
        </is>
      </c>
      <c r="K405" s="16" t="n"/>
    </row>
    <row r="406" ht="15" customHeight="1" s="13">
      <c r="A406" s="16" t="inlineStr">
        <is>
          <t>MC000SDOLAQGT002</t>
        </is>
      </c>
      <c r="B406" s="16" t="inlineStr">
        <is>
          <t>DOWEL INN CB-5 DIA XX INNER DIA 16.5MM</t>
        </is>
      </c>
      <c r="C406" s="16" t="inlineStr">
        <is>
          <t>Lab Consumables</t>
        </is>
      </c>
      <c r="D406" s="16" t="inlineStr">
        <is>
          <t>WH Misc</t>
        </is>
      </c>
      <c r="E406" s="16" t="inlineStr">
        <is>
          <t>NO</t>
        </is>
      </c>
      <c r="F406" s="16" t="inlineStr">
        <is>
          <t>EMC CUPBOARD</t>
        </is>
      </c>
      <c r="G406" s="16" t="n"/>
      <c r="H406" s="16" t="n"/>
      <c r="I406" s="16" t="n">
        <v>200</v>
      </c>
      <c r="J406" s="16" t="inlineStr">
        <is>
          <t>Yes</t>
        </is>
      </c>
      <c r="K406" s="16" t="n"/>
    </row>
    <row r="407" ht="15" customHeight="1" s="13">
      <c r="A407" s="16" t="inlineStr">
        <is>
          <t>7201/0881</t>
        </is>
      </c>
      <c r="B407" s="16" t="inlineStr">
        <is>
          <t>1.00-2.50mm² DT FEM SKT Nickel</t>
        </is>
      </c>
      <c r="C407" s="16" t="inlineStr">
        <is>
          <t>Lab Consumables</t>
        </is>
      </c>
      <c r="D407" s="16" t="inlineStr">
        <is>
          <t>WH Misc</t>
        </is>
      </c>
      <c r="E407" s="16" t="inlineStr">
        <is>
          <t>NO</t>
        </is>
      </c>
      <c r="F407" s="16" t="inlineStr">
        <is>
          <t>L-8</t>
        </is>
      </c>
      <c r="G407" s="16" t="n"/>
      <c r="H407" s="16" t="n"/>
      <c r="I407" s="16" t="n">
        <v>70</v>
      </c>
      <c r="J407" s="16" t="inlineStr">
        <is>
          <t>Yes</t>
        </is>
      </c>
      <c r="K407" s="16" t="n"/>
    </row>
    <row r="408" ht="15" customHeight="1" s="13">
      <c r="A408" s="16" t="inlineStr">
        <is>
          <t>7219/0181</t>
        </is>
      </c>
      <c r="B408" s="16" t="inlineStr">
        <is>
          <t>20 WAY MX150 SEALED MALE HSG</t>
        </is>
      </c>
      <c r="C408" s="16" t="inlineStr">
        <is>
          <t>Lab Consumables</t>
        </is>
      </c>
      <c r="D408" s="16" t="inlineStr">
        <is>
          <t>Wire Seal</t>
        </is>
      </c>
      <c r="E408" s="16" t="inlineStr">
        <is>
          <t>NO</t>
        </is>
      </c>
      <c r="F408" s="16" t="inlineStr">
        <is>
          <t>L-8</t>
        </is>
      </c>
      <c r="G408" s="16" t="n"/>
      <c r="H408" s="16" t="n"/>
      <c r="I408" s="16" t="n">
        <v>5</v>
      </c>
      <c r="J408" s="16" t="inlineStr">
        <is>
          <t>Yes</t>
        </is>
      </c>
      <c r="K408" s="16" t="n"/>
    </row>
    <row r="409" ht="15" customHeight="1" s="13">
      <c r="A409" s="16" t="inlineStr">
        <is>
          <t>7219/0441</t>
        </is>
      </c>
      <c r="B409" s="16" t="inlineStr">
        <is>
          <t>48W HYBRID NTSEAL PIN HSG KEY A BLACK</t>
        </is>
      </c>
      <c r="C409" s="16" t="inlineStr">
        <is>
          <t>Lab Consumables</t>
        </is>
      </c>
      <c r="D409" s="16" t="inlineStr">
        <is>
          <t>Wire Seal</t>
        </is>
      </c>
      <c r="E409" s="16" t="inlineStr">
        <is>
          <t>NO</t>
        </is>
      </c>
      <c r="F409" s="16" t="inlineStr">
        <is>
          <t>L-10</t>
        </is>
      </c>
      <c r="G409" s="16" t="inlineStr">
        <is>
          <t>TE CONNECTIVITY</t>
        </is>
      </c>
      <c r="H409" s="16" t="n"/>
      <c r="I409" s="16" t="n">
        <v>10</v>
      </c>
      <c r="J409" s="16" t="inlineStr">
        <is>
          <t>Yes</t>
        </is>
      </c>
      <c r="K409" s="16" t="n"/>
    </row>
    <row r="410" ht="15" customHeight="1" s="13">
      <c r="A410" s="16" t="inlineStr">
        <is>
          <t>7210/0302</t>
        </is>
      </c>
      <c r="B410" s="16" t="inlineStr">
        <is>
          <t>Cavity Plug 7.2mm Black</t>
        </is>
      </c>
      <c r="C410" s="16" t="inlineStr">
        <is>
          <t>Lab Consumables</t>
        </is>
      </c>
      <c r="D410" s="16" t="inlineStr">
        <is>
          <t>Cavity Plug</t>
        </is>
      </c>
      <c r="E410" s="16" t="inlineStr">
        <is>
          <t>NO</t>
        </is>
      </c>
      <c r="F410" s="16" t="inlineStr">
        <is>
          <t>SEAL BOX</t>
        </is>
      </c>
      <c r="G410" s="16" t="inlineStr">
        <is>
          <t>TE CONNECTIVITY</t>
        </is>
      </c>
      <c r="H410" s="16" t="n"/>
      <c r="I410" s="16" t="n">
        <v>10</v>
      </c>
      <c r="J410" s="16" t="inlineStr">
        <is>
          <t>Yes</t>
        </is>
      </c>
      <c r="K410" s="16" t="n"/>
    </row>
    <row r="411" ht="15" customHeight="1" s="13">
      <c r="A411" s="16" t="inlineStr">
        <is>
          <t>7243/0714</t>
        </is>
      </c>
      <c r="B411" s="16" t="inlineStr">
        <is>
          <t>21 Way Leavyseal Cover 90 Deg NC20</t>
        </is>
      </c>
      <c r="C411" s="16" t="inlineStr">
        <is>
          <t>Lab Consumables</t>
        </is>
      </c>
      <c r="D411" s="16" t="inlineStr">
        <is>
          <t>Wire Seal</t>
        </is>
      </c>
      <c r="E411" s="16" t="inlineStr">
        <is>
          <t>NO</t>
        </is>
      </c>
      <c r="F411" s="16" t="inlineStr">
        <is>
          <t>D1-1</t>
        </is>
      </c>
      <c r="G411" s="16" t="inlineStr">
        <is>
          <t>TE CONNECTIVITY</t>
        </is>
      </c>
      <c r="H411" s="16" t="n"/>
      <c r="I411" s="16" t="n">
        <v>10</v>
      </c>
      <c r="J411" s="16" t="inlineStr">
        <is>
          <t>Yes</t>
        </is>
      </c>
      <c r="K411" s="16" t="n"/>
    </row>
    <row r="412" ht="15" customHeight="1" s="13">
      <c r="A412" s="16" t="inlineStr">
        <is>
          <t>7216/0054</t>
        </is>
      </c>
      <c r="B412" s="16" t="inlineStr">
        <is>
          <t>6 Way MCP1.5K SKT HSG</t>
        </is>
      </c>
      <c r="C412" s="16" t="inlineStr">
        <is>
          <t>Lab Consumables</t>
        </is>
      </c>
      <c r="D412" s="16" t="inlineStr">
        <is>
          <t>WH Misc</t>
        </is>
      </c>
      <c r="E412" s="16" t="inlineStr">
        <is>
          <t>NO</t>
        </is>
      </c>
      <c r="F412" s="16" t="inlineStr">
        <is>
          <t>L-5</t>
        </is>
      </c>
      <c r="G412" s="16" t="inlineStr">
        <is>
          <t>TE CONNECTIVITY</t>
        </is>
      </c>
      <c r="H412" s="16" t="n"/>
      <c r="I412" s="16" t="n">
        <v>5</v>
      </c>
      <c r="J412" s="16" t="inlineStr">
        <is>
          <t>Yes</t>
        </is>
      </c>
      <c r="K412" s="16" t="n"/>
    </row>
    <row r="413" ht="15" customHeight="1" s="13">
      <c r="A413" s="16" t="inlineStr">
        <is>
          <t>727/0000</t>
        </is>
      </c>
      <c r="B413" s="16" t="inlineStr">
        <is>
          <t>CAN CABLE 2 CORE 0.5 CSA</t>
        </is>
      </c>
      <c r="C413" s="16" t="inlineStr">
        <is>
          <t>Lab Consumables</t>
        </is>
      </c>
      <c r="D413" s="16" t="inlineStr">
        <is>
          <t>Battery Cable</t>
        </is>
      </c>
      <c r="E413" s="16" t="inlineStr">
        <is>
          <t>NO</t>
        </is>
      </c>
      <c r="F413" s="16" t="inlineStr">
        <is>
          <t>BELOW STARES</t>
        </is>
      </c>
      <c r="G413" s="16" t="inlineStr">
        <is>
          <t>UNITECH</t>
        </is>
      </c>
      <c r="H413" s="16" t="n">
        <v>112.35</v>
      </c>
      <c r="I413" s="16" t="n">
        <v>200</v>
      </c>
      <c r="J413" s="16" t="inlineStr">
        <is>
          <t>Yes</t>
        </is>
      </c>
      <c r="K413" s="16" t="n"/>
    </row>
    <row r="414" ht="15" customHeight="1" s="13">
      <c r="A414" s="16" t="inlineStr">
        <is>
          <t>7219/0343</t>
        </is>
      </c>
      <c r="B414" s="16" t="inlineStr">
        <is>
          <t>94 WAY MQS MCP2.8 HSG+Cover CPA</t>
        </is>
      </c>
      <c r="C414" s="16" t="inlineStr">
        <is>
          <t>Lab Consumables</t>
        </is>
      </c>
      <c r="D414" s="16" t="inlineStr">
        <is>
          <t>WH Misc</t>
        </is>
      </c>
      <c r="E414" s="16" t="inlineStr">
        <is>
          <t>NO</t>
        </is>
      </c>
      <c r="F414" s="16" t="inlineStr">
        <is>
          <t>D1-1</t>
        </is>
      </c>
      <c r="G414" s="16" t="n"/>
      <c r="H414" s="16" t="n"/>
      <c r="I414" s="16" t="n">
        <v>2</v>
      </c>
      <c r="J414" s="16" t="inlineStr">
        <is>
          <t>Yes</t>
        </is>
      </c>
      <c r="K414" s="16" t="n"/>
    </row>
    <row r="415" ht="15" customHeight="1" s="13">
      <c r="A415" s="16" t="inlineStr">
        <is>
          <t>7216/0022</t>
        </is>
      </c>
      <c r="B415" s="16" t="inlineStr">
        <is>
          <t>6 Way DTM06 Wedge</t>
        </is>
      </c>
      <c r="C415" s="16" t="inlineStr">
        <is>
          <t>Lab Consumables</t>
        </is>
      </c>
      <c r="D415" s="16" t="inlineStr">
        <is>
          <t>WH Misc</t>
        </is>
      </c>
      <c r="E415" s="16" t="inlineStr">
        <is>
          <t>NO</t>
        </is>
      </c>
      <c r="F415" s="16" t="inlineStr">
        <is>
          <t>D1-1</t>
        </is>
      </c>
      <c r="G415" s="16" t="n"/>
      <c r="H415" s="16" t="n"/>
      <c r="I415" s="16" t="n">
        <v>15</v>
      </c>
      <c r="J415" s="16" t="inlineStr">
        <is>
          <t>Yes</t>
        </is>
      </c>
      <c r="K415" s="16" t="n"/>
    </row>
    <row r="416" ht="15" customHeight="1" s="13">
      <c r="A416" s="16" t="inlineStr">
        <is>
          <t>7201/0187</t>
        </is>
      </c>
      <c r="B416" s="16" t="inlineStr">
        <is>
          <t>0.5-0.75 MQS JPT Fem Terminal</t>
        </is>
      </c>
      <c r="C416" s="16" t="inlineStr">
        <is>
          <t>Lab Consumables</t>
        </is>
      </c>
      <c r="D416" s="16" t="inlineStr">
        <is>
          <t>Terminal</t>
        </is>
      </c>
      <c r="E416" s="16" t="inlineStr">
        <is>
          <t>NO</t>
        </is>
      </c>
      <c r="F416" s="16" t="inlineStr">
        <is>
          <t>D1-1</t>
        </is>
      </c>
      <c r="G416" s="16" t="n"/>
      <c r="H416" s="16" t="n"/>
      <c r="I416" s="16" t="n">
        <v>100</v>
      </c>
      <c r="J416" s="16" t="inlineStr">
        <is>
          <t>Yes</t>
        </is>
      </c>
      <c r="K416" s="16" t="n"/>
    </row>
    <row r="417" ht="15" customHeight="1" s="13">
      <c r="A417" s="16" t="inlineStr">
        <is>
          <t>7201/0791</t>
        </is>
      </c>
      <c r="B417" s="16" t="inlineStr">
        <is>
          <t>0.5-1.0mm2 MQS 2.8 fem term tin</t>
        </is>
      </c>
      <c r="C417" s="16" t="inlineStr">
        <is>
          <t>Lab Consumables</t>
        </is>
      </c>
      <c r="D417" s="16" t="inlineStr">
        <is>
          <t>WH Misc</t>
        </is>
      </c>
      <c r="E417" s="16" t="inlineStr">
        <is>
          <t>NO</t>
        </is>
      </c>
      <c r="F417" s="16" t="inlineStr">
        <is>
          <t>D1-1</t>
        </is>
      </c>
      <c r="G417" s="16" t="n"/>
      <c r="H417" s="16" t="n"/>
      <c r="I417" s="16" t="n">
        <v>100</v>
      </c>
      <c r="J417" s="16" t="inlineStr">
        <is>
          <t>Yes</t>
        </is>
      </c>
      <c r="K417" s="16" t="n"/>
    </row>
    <row r="418" ht="15" customHeight="1" s="13">
      <c r="A418" s="16" t="inlineStr">
        <is>
          <t>7210/0082</t>
        </is>
      </c>
      <c r="B418" s="16" t="inlineStr">
        <is>
          <t>Cavity Plug Micro Timer White</t>
        </is>
      </c>
      <c r="C418" s="16" t="inlineStr">
        <is>
          <t>Lab Consumables</t>
        </is>
      </c>
      <c r="D418" s="16" t="inlineStr">
        <is>
          <t>Cavity Plug</t>
        </is>
      </c>
      <c r="E418" s="16" t="inlineStr">
        <is>
          <t>NO</t>
        </is>
      </c>
      <c r="F418" s="16" t="inlineStr">
        <is>
          <t>SEAL BOX</t>
        </is>
      </c>
      <c r="G418" s="16" t="n"/>
      <c r="H418" s="16" t="n"/>
      <c r="I418" s="16" t="n">
        <v>15</v>
      </c>
      <c r="J418" s="16" t="inlineStr">
        <is>
          <t>Yes</t>
        </is>
      </c>
      <c r="K418" s="16" t="n"/>
    </row>
    <row r="419" ht="15" customHeight="1" s="13">
      <c r="A419" s="16" t="inlineStr">
        <is>
          <t>7210/0032</t>
        </is>
      </c>
      <c r="B419" s="16" t="inlineStr">
        <is>
          <t>Wire Seal 1.6-2.4mm Green Econo</t>
        </is>
      </c>
      <c r="C419" s="16" t="inlineStr">
        <is>
          <t>Lab Consumables</t>
        </is>
      </c>
      <c r="D419" s="16" t="inlineStr">
        <is>
          <t>Wire Seal</t>
        </is>
      </c>
      <c r="E419" s="16" t="inlineStr">
        <is>
          <t>NO</t>
        </is>
      </c>
      <c r="F419" s="16" t="inlineStr">
        <is>
          <t>SEAL BOX</t>
        </is>
      </c>
      <c r="G419" s="16" t="n"/>
      <c r="H419" s="16" t="n"/>
      <c r="I419" s="16" t="n">
        <v>10</v>
      </c>
      <c r="J419" s="16" t="inlineStr">
        <is>
          <t>Yes</t>
        </is>
      </c>
      <c r="K419" s="16" t="n"/>
    </row>
  </sheetData>
  <dataValidations count="2">
    <dataValidation sqref="J2:J818" showDropDown="0" showInputMessage="0" showErrorMessage="0" allowBlank="0" type="list" errorStyle="stop" operator="between">
      <formula1>"Yes,No"</formula1>
      <formula2>0</formula2>
    </dataValidation>
    <dataValidation sqref="E2:E818" showDropDown="0" showInputMessage="0" showErrorMessage="0" allowBlank="1" type="list" errorStyle="stop" operator="between">
      <formula1>"NO,M,EACH,SET,KG,L,ROLL,BOX"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24" customWidth="1" style="12" min="2" max="2"/>
    <col width="12" customWidth="1" style="12" min="3" max="3"/>
    <col width="10" customWidth="1" style="12" min="4" max="4"/>
    <col width="18" customWidth="1" style="12" min="5" max="5"/>
    <col width="11" customWidth="1" style="12" min="6" max="6"/>
    <col width="26" customWidth="1" style="12" min="7" max="7"/>
    <col width="34" customWidth="1" style="12" min="8" max="8"/>
    <col width="22" customWidth="1" style="13" min="9" max="9"/>
  </cols>
  <sheetData>
    <row r="1" ht="21.75" customHeight="1" s="13">
      <c r="A1" s="19" t="inlineStr">
        <is>
          <t>Date</t>
        </is>
      </c>
      <c r="B1" s="19" t="inlineStr">
        <is>
          <t>PartNo</t>
        </is>
      </c>
      <c r="C1" s="19" t="inlineStr">
        <is>
          <t>Type</t>
        </is>
      </c>
      <c r="D1" s="19" t="inlineStr">
        <is>
          <t>Qty</t>
        </is>
      </c>
      <c r="E1" s="19" t="inlineStr">
        <is>
          <t>Reference</t>
        </is>
      </c>
      <c r="F1" s="19" t="inlineStr">
        <is>
          <t>UnitCost</t>
        </is>
      </c>
      <c r="G1" s="19" t="inlineStr">
        <is>
          <t>By</t>
        </is>
      </c>
      <c r="H1" s="19" t="inlineStr">
        <is>
          <t>Reason</t>
        </is>
      </c>
      <c r="I1" s="25" t="inlineStr">
        <is>
          <t>EntryId</t>
        </is>
      </c>
    </row>
    <row r="2" ht="15" customHeight="1" s="13">
      <c r="A2" s="20" t="n">
        <v>45351</v>
      </c>
      <c r="B2" s="16" t="inlineStr">
        <is>
          <t>P_C_CD/2024/005_01</t>
        </is>
      </c>
      <c r="C2" s="16" t="inlineStr">
        <is>
          <t>RECEIPT</t>
        </is>
      </c>
      <c r="D2" s="16" t="n">
        <v>2</v>
      </c>
      <c r="E2" s="16" t="inlineStr">
        <is>
          <t>9700008666</t>
        </is>
      </c>
      <c r="F2" s="16" t="n">
        <v>47700</v>
      </c>
      <c r="G2" s="16" t="inlineStr">
        <is>
          <t>lab.store@jcb.com</t>
        </is>
      </c>
      <c r="H2" s="16" t="n"/>
    </row>
    <row r="3" ht="15" customHeight="1" s="13">
      <c r="A3" s="20" t="n">
        <v>45357</v>
      </c>
      <c r="B3" s="16" t="inlineStr">
        <is>
          <t>P_C_CD/2024/006_01</t>
        </is>
      </c>
      <c r="C3" s="16" t="inlineStr">
        <is>
          <t>RECEIPT</t>
        </is>
      </c>
      <c r="D3" s="16" t="n">
        <v>3</v>
      </c>
      <c r="E3" s="16" t="inlineStr">
        <is>
          <t>9700008677</t>
        </is>
      </c>
      <c r="F3" s="16" t="n">
        <v>12910</v>
      </c>
      <c r="G3" s="16" t="inlineStr">
        <is>
          <t>lab.store@jcb.com</t>
        </is>
      </c>
      <c r="H3" s="16" t="n"/>
    </row>
    <row r="4" ht="15" customHeight="1" s="13">
      <c r="A4" s="20" t="n">
        <v>45467</v>
      </c>
      <c r="B4" s="16" t="inlineStr">
        <is>
          <t>0010 P_SER_ITSE_AMC_035-SOFTWARE AMC</t>
        </is>
      </c>
      <c r="C4" s="16" t="inlineStr">
        <is>
          <t>RECEIPT</t>
        </is>
      </c>
      <c r="D4" s="16" t="n">
        <v>1</v>
      </c>
      <c r="E4" s="16" t="inlineStr">
        <is>
          <t>9700008919</t>
        </is>
      </c>
      <c r="F4" s="16" t="n">
        <v>39000</v>
      </c>
      <c r="G4" s="16" t="inlineStr">
        <is>
          <t>lab.store@jcb.com</t>
        </is>
      </c>
      <c r="H4" s="16" t="n"/>
    </row>
    <row r="5" ht="15" customHeight="1" s="13">
      <c r="A5" s="20" t="n">
        <v>45510</v>
      </c>
      <c r="B5" s="16" t="inlineStr">
        <is>
          <t>P_CON_ELCC_GEN_071</t>
        </is>
      </c>
      <c r="C5" s="16" t="inlineStr">
        <is>
          <t>RECEIPT</t>
        </is>
      </c>
      <c r="D5" s="16" t="n">
        <v>50</v>
      </c>
      <c r="E5" s="16" t="inlineStr">
        <is>
          <t>9700009002</t>
        </is>
      </c>
      <c r="F5" s="16" t="n">
        <v>228</v>
      </c>
      <c r="G5" s="16" t="inlineStr">
        <is>
          <t>lab.store@jcb.com</t>
        </is>
      </c>
      <c r="H5" s="16" t="n"/>
    </row>
    <row r="6" ht="15" customHeight="1" s="13">
      <c r="A6" s="20" t="n">
        <v>45510</v>
      </c>
      <c r="B6" s="16" t="inlineStr">
        <is>
          <t>P_CON_ELCC_GEN_072</t>
        </is>
      </c>
      <c r="C6" s="16" t="inlineStr">
        <is>
          <t>RECEIPT</t>
        </is>
      </c>
      <c r="D6" s="16" t="n">
        <v>50</v>
      </c>
      <c r="E6" s="16" t="inlineStr">
        <is>
          <t>9700009002</t>
        </is>
      </c>
      <c r="F6" s="16" t="n">
        <v>532</v>
      </c>
      <c r="G6" s="16" t="inlineStr">
        <is>
          <t>lab.store@jcb.com</t>
        </is>
      </c>
      <c r="H6" s="16" t="n"/>
    </row>
    <row r="7" ht="15" customHeight="1" s="13">
      <c r="A7" s="20" t="n">
        <v>45510</v>
      </c>
      <c r="B7" s="16" t="inlineStr">
        <is>
          <t>P_CON_ELCC_GEN_073</t>
        </is>
      </c>
      <c r="C7" s="16" t="inlineStr">
        <is>
          <t>RECEIPT</t>
        </is>
      </c>
      <c r="D7" s="16" t="n">
        <v>50</v>
      </c>
      <c r="E7" s="16" t="inlineStr">
        <is>
          <t>9700009002</t>
        </is>
      </c>
      <c r="F7" s="16" t="n">
        <v>975</v>
      </c>
      <c r="G7" s="16" t="inlineStr">
        <is>
          <t>lab.store@jcb.com</t>
        </is>
      </c>
      <c r="H7" s="16" t="n"/>
    </row>
    <row r="8" ht="15" customHeight="1" s="13">
      <c r="A8" s="20" t="n">
        <v>45680</v>
      </c>
      <c r="B8" s="16" t="inlineStr">
        <is>
          <t>7208/0024</t>
        </is>
      </c>
      <c r="C8" s="16" t="inlineStr">
        <is>
          <t>RECEIPT</t>
        </is>
      </c>
      <c r="D8" s="16" t="n">
        <v>50</v>
      </c>
      <c r="E8" s="16" t="inlineStr">
        <is>
          <t>9700009294</t>
        </is>
      </c>
      <c r="F8" s="16" t="n">
        <v>1598</v>
      </c>
      <c r="G8" s="16" t="inlineStr">
        <is>
          <t>lab.store@jcb.com</t>
        </is>
      </c>
      <c r="H8" s="16" t="n"/>
    </row>
    <row r="9" ht="15" customHeight="1" s="13">
      <c r="A9" s="20" t="n">
        <v>45680</v>
      </c>
      <c r="B9" s="16" t="inlineStr">
        <is>
          <t>7208/0023</t>
        </is>
      </c>
      <c r="C9" s="16" t="inlineStr">
        <is>
          <t>RECEIPT</t>
        </is>
      </c>
      <c r="D9" s="16" t="n">
        <v>50</v>
      </c>
      <c r="E9" s="16" t="inlineStr">
        <is>
          <t>9700009294</t>
        </is>
      </c>
      <c r="F9" s="16" t="n">
        <v>1598</v>
      </c>
      <c r="G9" s="16" t="inlineStr">
        <is>
          <t>lab.store@jcb.com</t>
        </is>
      </c>
      <c r="H9" s="16" t="n"/>
    </row>
    <row r="10" ht="15" customHeight="1" s="13">
      <c r="A10" s="20" t="n">
        <v>45680</v>
      </c>
      <c r="B10" s="16" t="inlineStr">
        <is>
          <t>7254/1006</t>
        </is>
      </c>
      <c r="C10" s="16" t="inlineStr">
        <is>
          <t>RECEIPT</t>
        </is>
      </c>
      <c r="D10" s="16" t="n">
        <v>50</v>
      </c>
      <c r="E10" s="16" t="inlineStr">
        <is>
          <t>9700009294</t>
        </is>
      </c>
      <c r="F10" s="16" t="n">
        <v>278</v>
      </c>
      <c r="G10" s="16" t="inlineStr">
        <is>
          <t>lab.store@jcb.com</t>
        </is>
      </c>
      <c r="H10" s="16" t="n"/>
    </row>
    <row r="11" ht="15" customHeight="1" s="13">
      <c r="A11" s="20" t="n">
        <v>45680</v>
      </c>
      <c r="B11" s="16" t="inlineStr">
        <is>
          <t>7254/0406</t>
        </is>
      </c>
      <c r="C11" s="16" t="inlineStr">
        <is>
          <t>RECEIPT</t>
        </is>
      </c>
      <c r="D11" s="16" t="n">
        <v>50</v>
      </c>
      <c r="E11" s="16" t="inlineStr">
        <is>
          <t>9700009294</t>
        </is>
      </c>
      <c r="F11" s="16" t="n">
        <v>104</v>
      </c>
      <c r="G11" s="16" t="inlineStr">
        <is>
          <t>lab.store@jcb.com</t>
        </is>
      </c>
      <c r="H11" s="16" t="n"/>
    </row>
    <row r="12" ht="15" customHeight="1" s="13">
      <c r="A12" s="20" t="n">
        <v>45680</v>
      </c>
      <c r="B12" s="16" t="inlineStr">
        <is>
          <t>7241/0065</t>
        </is>
      </c>
      <c r="C12" s="16" t="inlineStr">
        <is>
          <t>RECEIPT</t>
        </is>
      </c>
      <c r="D12" s="16" t="n">
        <v>50</v>
      </c>
      <c r="E12" s="16" t="inlineStr">
        <is>
          <t>9700009294</t>
        </is>
      </c>
      <c r="F12" s="16" t="n">
        <v>30.54</v>
      </c>
      <c r="G12" s="16" t="inlineStr">
        <is>
          <t>lab.store@jcb.com</t>
        </is>
      </c>
      <c r="H12" s="16" t="n"/>
    </row>
    <row r="13" ht="15" customHeight="1" s="13">
      <c r="A13" s="20" t="n">
        <v>45680</v>
      </c>
      <c r="B13" s="16" t="inlineStr">
        <is>
          <t>7000/3217</t>
        </is>
      </c>
      <c r="C13" s="16" t="inlineStr">
        <is>
          <t>RECEIPT</t>
        </is>
      </c>
      <c r="D13" s="16" t="n">
        <v>50</v>
      </c>
      <c r="E13" s="16" t="inlineStr">
        <is>
          <t>9700009294</t>
        </is>
      </c>
      <c r="F13" s="16" t="n">
        <v>108.45</v>
      </c>
      <c r="G13" s="16" t="inlineStr">
        <is>
          <t>lab.store@jcb.com</t>
        </is>
      </c>
      <c r="H13" s="16" t="n"/>
    </row>
    <row r="14" ht="15" customHeight="1" s="13">
      <c r="A14" s="20" t="n">
        <v>45680</v>
      </c>
      <c r="B14" s="16" t="inlineStr">
        <is>
          <t>717/20129</t>
        </is>
      </c>
      <c r="C14" s="16" t="inlineStr">
        <is>
          <t>RECEIPT</t>
        </is>
      </c>
      <c r="D14" s="16" t="n">
        <v>50</v>
      </c>
      <c r="E14" s="16" t="inlineStr">
        <is>
          <t>9700009294</t>
        </is>
      </c>
      <c r="F14" s="16" t="n">
        <v>72.26000000000001</v>
      </c>
      <c r="G14" s="16" t="inlineStr">
        <is>
          <t>lab.store@jcb.com</t>
        </is>
      </c>
      <c r="H14" s="16" t="n"/>
    </row>
    <row r="15" ht="15" customHeight="1" s="13">
      <c r="A15" s="20" t="n">
        <v>45680</v>
      </c>
      <c r="B15" s="16" t="inlineStr">
        <is>
          <t>7000/3217</t>
        </is>
      </c>
      <c r="C15" s="16" t="inlineStr">
        <is>
          <t>RECEIPT</t>
        </is>
      </c>
      <c r="D15" s="16" t="n">
        <v>50</v>
      </c>
      <c r="E15" s="16" t="inlineStr">
        <is>
          <t>9700009294</t>
        </is>
      </c>
      <c r="F15" s="16" t="n">
        <v>96.77</v>
      </c>
      <c r="G15" s="16" t="inlineStr">
        <is>
          <t>lab.store@jcb.com</t>
        </is>
      </c>
      <c r="H15" s="16" t="n"/>
    </row>
    <row r="16" ht="15" customHeight="1" s="13">
      <c r="A16" s="20" t="n">
        <v>45680</v>
      </c>
      <c r="B16" s="16" t="inlineStr">
        <is>
          <t>7243/0311</t>
        </is>
      </c>
      <c r="C16" s="16" t="inlineStr">
        <is>
          <t>RECEIPT</t>
        </is>
      </c>
      <c r="D16" s="16" t="n">
        <v>50</v>
      </c>
      <c r="E16" s="16" t="inlineStr">
        <is>
          <t>9700009294</t>
        </is>
      </c>
      <c r="F16" s="16" t="n">
        <v>304.07</v>
      </c>
      <c r="G16" s="16" t="inlineStr">
        <is>
          <t>lab.store@jcb.com</t>
        </is>
      </c>
      <c r="H16" s="16" t="n"/>
    </row>
    <row r="17" ht="15" customHeight="1" s="13">
      <c r="A17" s="20" t="n">
        <v>45680</v>
      </c>
      <c r="B17" s="16" t="inlineStr">
        <is>
          <t>7243/0305</t>
        </is>
      </c>
      <c r="C17" s="16" t="inlineStr">
        <is>
          <t>RECEIPT</t>
        </is>
      </c>
      <c r="D17" s="16" t="n">
        <v>50</v>
      </c>
      <c r="E17" s="16" t="inlineStr">
        <is>
          <t>9700009294</t>
        </is>
      </c>
      <c r="F17" s="16" t="n">
        <v>27.84</v>
      </c>
      <c r="G17" s="16" t="inlineStr">
        <is>
          <t>lab.store@jcb.com</t>
        </is>
      </c>
      <c r="H17" s="16" t="n"/>
    </row>
    <row r="18" ht="15" customHeight="1" s="13">
      <c r="A18" s="20" t="n">
        <v>45680</v>
      </c>
      <c r="B18" s="16" t="inlineStr">
        <is>
          <t>332/S1020</t>
        </is>
      </c>
      <c r="C18" s="16" t="inlineStr">
        <is>
          <t>RECEIPT</t>
        </is>
      </c>
      <c r="D18" s="16" t="n">
        <v>50</v>
      </c>
      <c r="E18" s="16" t="inlineStr">
        <is>
          <t>9700009294</t>
        </is>
      </c>
      <c r="F18" s="16" t="n">
        <v>30.85</v>
      </c>
      <c r="G18" s="16" t="inlineStr">
        <is>
          <t>lab.store@jcb.com</t>
        </is>
      </c>
      <c r="H18" s="16" t="n"/>
    </row>
    <row r="19" ht="15" customHeight="1" s="13">
      <c r="A19" s="20" t="n">
        <v>45680</v>
      </c>
      <c r="B19" s="16" t="inlineStr">
        <is>
          <t>401/U6865</t>
        </is>
      </c>
      <c r="C19" s="16" t="inlineStr">
        <is>
          <t>RECEIPT</t>
        </is>
      </c>
      <c r="D19" s="16" t="n">
        <v>50</v>
      </c>
      <c r="E19" s="16" t="inlineStr">
        <is>
          <t>9700009294</t>
        </is>
      </c>
      <c r="F19" s="16" t="n">
        <v>7.88</v>
      </c>
      <c r="G19" s="16" t="inlineStr">
        <is>
          <t>lab.store@jcb.com</t>
        </is>
      </c>
      <c r="H19" s="16" t="n"/>
    </row>
    <row r="20" ht="15" customHeight="1" s="13">
      <c r="A20" s="20" t="n">
        <v>45680</v>
      </c>
      <c r="B20" s="16" t="inlineStr">
        <is>
          <t>7000/3217</t>
        </is>
      </c>
      <c r="C20" s="16" t="inlineStr">
        <is>
          <t>RECEIPT</t>
        </is>
      </c>
      <c r="D20" s="16" t="n">
        <v>50</v>
      </c>
      <c r="E20" s="16" t="inlineStr">
        <is>
          <t>9700009294</t>
        </is>
      </c>
      <c r="F20" s="16" t="n">
        <v>173.4</v>
      </c>
      <c r="G20" s="16" t="inlineStr">
        <is>
          <t>lab.store@jcb.com</t>
        </is>
      </c>
      <c r="H20" s="16" t="n"/>
    </row>
    <row r="21" ht="15" customHeight="1" s="13">
      <c r="A21" s="20" t="n">
        <v>45680</v>
      </c>
      <c r="B21" s="16" t="inlineStr">
        <is>
          <t>7243/0530</t>
        </is>
      </c>
      <c r="C21" s="16" t="inlineStr">
        <is>
          <t>RECEIPT</t>
        </is>
      </c>
      <c r="D21" s="16" t="n">
        <v>50</v>
      </c>
      <c r="E21" s="16" t="inlineStr">
        <is>
          <t>9700009294</t>
        </is>
      </c>
      <c r="F21" s="16" t="n">
        <v>10.02</v>
      </c>
      <c r="G21" s="16" t="inlineStr">
        <is>
          <t>lab.store@jcb.com</t>
        </is>
      </c>
      <c r="H21" s="16" t="n"/>
    </row>
    <row r="22" ht="15" customHeight="1" s="13">
      <c r="A22" s="20" t="n">
        <v>45680</v>
      </c>
      <c r="B22" s="16" t="inlineStr">
        <is>
          <t>7000/3207</t>
        </is>
      </c>
      <c r="C22" s="16" t="inlineStr">
        <is>
          <t>RECEIPT</t>
        </is>
      </c>
      <c r="D22" s="16" t="n">
        <v>100</v>
      </c>
      <c r="E22" s="16" t="inlineStr">
        <is>
          <t>9700009294</t>
        </is>
      </c>
      <c r="F22" s="16" t="n">
        <v>6.23</v>
      </c>
      <c r="G22" s="16" t="inlineStr">
        <is>
          <t>lab.store@jcb.com</t>
        </is>
      </c>
      <c r="H22" s="16" t="n"/>
    </row>
    <row r="23" ht="15" customHeight="1" s="13">
      <c r="A23" s="20" t="n">
        <v>45680</v>
      </c>
      <c r="B23" s="16" t="inlineStr">
        <is>
          <t>7205/1000</t>
        </is>
      </c>
      <c r="C23" s="16" t="inlineStr">
        <is>
          <t>RECEIPT</t>
        </is>
      </c>
      <c r="D23" s="16" t="n">
        <v>50</v>
      </c>
      <c r="E23" s="16" t="inlineStr">
        <is>
          <t>9700009294</t>
        </is>
      </c>
      <c r="F23" s="16" t="n">
        <v>13.44</v>
      </c>
      <c r="G23" s="16" t="inlineStr">
        <is>
          <t>lab.store@jcb.com</t>
        </is>
      </c>
      <c r="H23" s="16" t="n"/>
    </row>
    <row r="24" ht="15" customHeight="1" s="13">
      <c r="A24" s="20" t="n">
        <v>45680</v>
      </c>
      <c r="B24" s="16" t="inlineStr">
        <is>
          <t>7207/2054</t>
        </is>
      </c>
      <c r="C24" s="16" t="inlineStr">
        <is>
          <t>RECEIPT</t>
        </is>
      </c>
      <c r="D24" s="16" t="n">
        <v>50</v>
      </c>
      <c r="E24" s="16" t="inlineStr">
        <is>
          <t>9700009294</t>
        </is>
      </c>
      <c r="F24" s="16" t="n">
        <v>12.15</v>
      </c>
      <c r="G24" s="16" t="inlineStr">
        <is>
          <t>lab.store@jcb.com</t>
        </is>
      </c>
      <c r="H24" s="16" t="n"/>
    </row>
    <row r="25" ht="15" customHeight="1" s="13">
      <c r="A25" s="20" t="n">
        <v>45680</v>
      </c>
      <c r="B25" s="16" t="inlineStr">
        <is>
          <t>7207/1502</t>
        </is>
      </c>
      <c r="C25" s="16" t="inlineStr">
        <is>
          <t>RECEIPT</t>
        </is>
      </c>
      <c r="D25" s="16" t="n">
        <v>50</v>
      </c>
      <c r="E25" s="16" t="inlineStr">
        <is>
          <t>9700009294</t>
        </is>
      </c>
      <c r="F25" s="16" t="n">
        <v>19.83</v>
      </c>
      <c r="G25" s="16" t="inlineStr">
        <is>
          <t>lab.store@jcb.com</t>
        </is>
      </c>
      <c r="H25" s="16" t="n"/>
    </row>
    <row r="26" ht="15" customHeight="1" s="13">
      <c r="A26" s="20" t="n">
        <v>45680</v>
      </c>
      <c r="B26" s="16" t="inlineStr">
        <is>
          <t>7205/0250</t>
        </is>
      </c>
      <c r="C26" s="16" t="inlineStr">
        <is>
          <t>RECEIPT</t>
        </is>
      </c>
      <c r="D26" s="16" t="n">
        <v>50</v>
      </c>
      <c r="E26" s="16" t="inlineStr">
        <is>
          <t>9700009294</t>
        </is>
      </c>
      <c r="F26" s="16" t="n">
        <v>3.9</v>
      </c>
      <c r="G26" s="16" t="inlineStr">
        <is>
          <t>lab.store@jcb.com</t>
        </is>
      </c>
      <c r="H26" s="16" t="n"/>
    </row>
    <row r="27" ht="15" customHeight="1" s="13">
      <c r="A27" s="20" t="n">
        <v>45680</v>
      </c>
      <c r="B27" s="16" t="inlineStr">
        <is>
          <t>7207/1501</t>
        </is>
      </c>
      <c r="C27" s="16" t="inlineStr">
        <is>
          <t>RECEIPT</t>
        </is>
      </c>
      <c r="D27" s="16" t="n">
        <v>50</v>
      </c>
      <c r="E27" s="16" t="inlineStr">
        <is>
          <t>9700009294</t>
        </is>
      </c>
      <c r="F27" s="16" t="n">
        <v>13.44</v>
      </c>
      <c r="G27" s="16" t="inlineStr">
        <is>
          <t>lab.store@jcb.com</t>
        </is>
      </c>
      <c r="H27" s="16" t="n"/>
    </row>
    <row r="28" ht="15" customHeight="1" s="13">
      <c r="A28" s="20" t="n">
        <v>45680</v>
      </c>
      <c r="B28" s="16" t="inlineStr">
        <is>
          <t>7208/1079</t>
        </is>
      </c>
      <c r="C28" s="16" t="inlineStr">
        <is>
          <t>RECEIPT</t>
        </is>
      </c>
      <c r="D28" s="16" t="n">
        <v>50</v>
      </c>
      <c r="E28" s="16" t="inlineStr">
        <is>
          <t>9700009294</t>
        </is>
      </c>
      <c r="F28" s="16" t="n">
        <v>319.54</v>
      </c>
      <c r="G28" s="16" t="inlineStr">
        <is>
          <t>lab.store@jcb.com</t>
        </is>
      </c>
      <c r="H28" s="16" t="n"/>
    </row>
    <row r="29" ht="15" customHeight="1" s="13">
      <c r="A29" s="20" t="n">
        <v>45680</v>
      </c>
      <c r="B29" s="16" t="inlineStr">
        <is>
          <t>7207/1304</t>
        </is>
      </c>
      <c r="C29" s="16" t="inlineStr">
        <is>
          <t>RECEIPT</t>
        </is>
      </c>
      <c r="D29" s="16" t="n">
        <v>50</v>
      </c>
      <c r="E29" s="16" t="inlineStr">
        <is>
          <t>9700009294</t>
        </is>
      </c>
      <c r="F29" s="16" t="n">
        <v>78.90000000000001</v>
      </c>
      <c r="G29" s="16" t="inlineStr">
        <is>
          <t>lab.store@jcb.com</t>
        </is>
      </c>
      <c r="H29" s="16" t="n"/>
    </row>
    <row r="30" ht="15" customHeight="1" s="13">
      <c r="A30" s="20" t="n">
        <v>45680</v>
      </c>
      <c r="B30" s="16" t="inlineStr">
        <is>
          <t>7207/1405</t>
        </is>
      </c>
      <c r="C30" s="16" t="inlineStr">
        <is>
          <t>RECEIPT</t>
        </is>
      </c>
      <c r="D30" s="16" t="n">
        <v>50</v>
      </c>
      <c r="E30" s="16" t="inlineStr">
        <is>
          <t>9700009294</t>
        </is>
      </c>
      <c r="F30" s="16" t="n">
        <v>80.40000000000001</v>
      </c>
      <c r="G30" s="16" t="inlineStr">
        <is>
          <t>lab.store@jcb.com</t>
        </is>
      </c>
      <c r="H30" s="16" t="n"/>
    </row>
    <row r="31" ht="15" customHeight="1" s="13">
      <c r="A31" s="20" t="n">
        <v>45680</v>
      </c>
      <c r="B31" s="16" t="inlineStr">
        <is>
          <t>7208/1081</t>
        </is>
      </c>
      <c r="C31" s="16" t="inlineStr">
        <is>
          <t>RECEIPT</t>
        </is>
      </c>
      <c r="D31" s="16" t="n">
        <v>50</v>
      </c>
      <c r="E31" s="16" t="inlineStr">
        <is>
          <t>9700009294</t>
        </is>
      </c>
      <c r="F31" s="16" t="n">
        <v>346.82</v>
      </c>
      <c r="G31" s="16" t="inlineStr">
        <is>
          <t>lab.store@jcb.com</t>
        </is>
      </c>
      <c r="H31" s="16" t="n"/>
    </row>
    <row r="32" ht="15" customHeight="1" s="13">
      <c r="A32" s="20" t="n">
        <v>45680</v>
      </c>
      <c r="B32" s="16" t="inlineStr">
        <is>
          <t>7207/1510</t>
        </is>
      </c>
      <c r="C32" s="16" t="inlineStr">
        <is>
          <t>RECEIPT</t>
        </is>
      </c>
      <c r="D32" s="16" t="n">
        <v>50</v>
      </c>
      <c r="E32" s="16" t="inlineStr">
        <is>
          <t>9700009294</t>
        </is>
      </c>
      <c r="F32" s="16" t="n">
        <v>26.89</v>
      </c>
      <c r="G32" s="16" t="inlineStr">
        <is>
          <t>lab.store@jcb.com</t>
        </is>
      </c>
      <c r="H32" s="16" t="n"/>
    </row>
    <row r="33" ht="15" customHeight="1" s="13">
      <c r="A33" s="20" t="n">
        <v>45680</v>
      </c>
      <c r="B33" s="16" t="inlineStr">
        <is>
          <t>7208/1129</t>
        </is>
      </c>
      <c r="C33" s="16" t="inlineStr">
        <is>
          <t>RECEIPT</t>
        </is>
      </c>
      <c r="D33" s="16" t="n">
        <v>50</v>
      </c>
      <c r="E33" s="16" t="inlineStr">
        <is>
          <t>9700009294</t>
        </is>
      </c>
      <c r="F33" s="16" t="n">
        <v>167.57</v>
      </c>
      <c r="G33" s="16" t="inlineStr">
        <is>
          <t>lab.store@jcb.com</t>
        </is>
      </c>
      <c r="H33" s="16" t="n"/>
    </row>
    <row r="34" ht="15" customHeight="1" s="13">
      <c r="A34" s="20" t="n">
        <v>45680</v>
      </c>
      <c r="B34" s="16" t="inlineStr">
        <is>
          <t>7207/1405</t>
        </is>
      </c>
      <c r="C34" s="16" t="inlineStr">
        <is>
          <t>RECEIPT</t>
        </is>
      </c>
      <c r="D34" s="16" t="n">
        <v>50</v>
      </c>
      <c r="E34" s="16" t="inlineStr">
        <is>
          <t>9700009294</t>
        </is>
      </c>
      <c r="F34" s="16" t="n">
        <v>80.40000000000001</v>
      </c>
      <c r="G34" s="16" t="inlineStr">
        <is>
          <t>lab.store@jcb.com</t>
        </is>
      </c>
      <c r="H34" s="16" t="n"/>
    </row>
    <row r="35" ht="15" customHeight="1" s="13">
      <c r="A35" s="20" t="n">
        <v>45680</v>
      </c>
      <c r="B35" s="16" t="inlineStr">
        <is>
          <t>7208/1007</t>
        </is>
      </c>
      <c r="C35" s="16" t="inlineStr">
        <is>
          <t>RECEIPT</t>
        </is>
      </c>
      <c r="D35" s="16" t="n">
        <v>50</v>
      </c>
      <c r="E35" s="16" t="inlineStr">
        <is>
          <t>9700009294</t>
        </is>
      </c>
      <c r="F35" s="16" t="n">
        <v>286.25</v>
      </c>
      <c r="G35" s="16" t="inlineStr">
        <is>
          <t>lab.store@jcb.com</t>
        </is>
      </c>
      <c r="H35" s="16" t="n"/>
    </row>
    <row r="36" ht="15" customHeight="1" s="13">
      <c r="A36" s="20" t="n">
        <v>45680</v>
      </c>
      <c r="B36" s="16" t="inlineStr">
        <is>
          <t>7207/1316</t>
        </is>
      </c>
      <c r="C36" s="16" t="inlineStr">
        <is>
          <t>RECEIPT</t>
        </is>
      </c>
      <c r="D36" s="16" t="n">
        <v>50</v>
      </c>
      <c r="E36" s="16" t="inlineStr">
        <is>
          <t>9700009294</t>
        </is>
      </c>
      <c r="F36" s="16" t="n">
        <v>48.29</v>
      </c>
      <c r="G36" s="16" t="inlineStr">
        <is>
          <t>lab.store@jcb.com</t>
        </is>
      </c>
      <c r="H36" s="16" t="n"/>
    </row>
    <row r="37" ht="15" customHeight="1" s="13">
      <c r="A37" s="20" t="n">
        <v>45680</v>
      </c>
      <c r="B37" s="16" t="inlineStr">
        <is>
          <t>7208/1022</t>
        </is>
      </c>
      <c r="C37" s="16" t="inlineStr">
        <is>
          <t>RECEIPT</t>
        </is>
      </c>
      <c r="D37" s="16" t="n">
        <v>50</v>
      </c>
      <c r="E37" s="16" t="inlineStr">
        <is>
          <t>9700009294</t>
        </is>
      </c>
      <c r="F37" s="16" t="n">
        <v>9909</v>
      </c>
      <c r="G37" s="16" t="inlineStr">
        <is>
          <t>lab.store@jcb.com</t>
        </is>
      </c>
      <c r="H37" s="16" t="n"/>
    </row>
    <row r="38" ht="15" customHeight="1" s="13">
      <c r="A38" s="20" t="n">
        <v>45680</v>
      </c>
      <c r="B38" s="16" t="inlineStr">
        <is>
          <t>7207/1419</t>
        </is>
      </c>
      <c r="C38" s="16" t="inlineStr">
        <is>
          <t>RECEIPT</t>
        </is>
      </c>
      <c r="D38" s="16" t="n">
        <v>50</v>
      </c>
      <c r="E38" s="16" t="inlineStr">
        <is>
          <t>9700009294</t>
        </is>
      </c>
      <c r="F38" s="16" t="n">
        <v>50.41</v>
      </c>
      <c r="G38" s="16" t="inlineStr">
        <is>
          <t>lab.store@jcb.com</t>
        </is>
      </c>
      <c r="H38" s="16" t="n"/>
    </row>
    <row r="39" ht="15" customHeight="1" s="13">
      <c r="A39" s="20" t="n">
        <v>45680</v>
      </c>
      <c r="B39" s="16" t="inlineStr">
        <is>
          <t>7207/1505</t>
        </is>
      </c>
      <c r="C39" s="16" t="inlineStr">
        <is>
          <t>RECEIPT</t>
        </is>
      </c>
      <c r="D39" s="16" t="n">
        <v>50</v>
      </c>
      <c r="E39" s="16" t="inlineStr">
        <is>
          <t>9700009294</t>
        </is>
      </c>
      <c r="F39" s="16" t="n">
        <v>48.75</v>
      </c>
      <c r="G39" s="16" t="inlineStr">
        <is>
          <t>lab.store@jcb.com</t>
        </is>
      </c>
      <c r="H39" s="16" t="n"/>
    </row>
    <row r="40" ht="15" customHeight="1" s="13">
      <c r="A40" s="20" t="n">
        <v>45680</v>
      </c>
      <c r="B40" s="16" t="inlineStr">
        <is>
          <t>7208/1020</t>
        </is>
      </c>
      <c r="C40" s="16" t="inlineStr">
        <is>
          <t>RECEIPT</t>
        </is>
      </c>
      <c r="D40" s="16" t="n">
        <v>50</v>
      </c>
      <c r="E40" s="16" t="inlineStr">
        <is>
          <t>9700009294</t>
        </is>
      </c>
      <c r="F40" s="16" t="n">
        <v>261.09</v>
      </c>
      <c r="G40" s="16" t="inlineStr">
        <is>
          <t>lab.store@jcb.com</t>
        </is>
      </c>
      <c r="H40" s="16" t="n"/>
    </row>
    <row r="41" ht="15" customHeight="1" s="13">
      <c r="A41" s="20" t="n">
        <v>45680</v>
      </c>
      <c r="B41" s="16" t="inlineStr">
        <is>
          <t>7208/1002</t>
        </is>
      </c>
      <c r="C41" s="16" t="inlineStr">
        <is>
          <t>RECEIPT</t>
        </is>
      </c>
      <c r="D41" s="16" t="n">
        <v>50</v>
      </c>
      <c r="E41" s="16" t="inlineStr">
        <is>
          <t>9700009294</t>
        </is>
      </c>
      <c r="F41" s="16" t="n">
        <v>766.62</v>
      </c>
      <c r="G41" s="16" t="inlineStr">
        <is>
          <t>lab.store@jcb.com</t>
        </is>
      </c>
      <c r="H41" s="16" t="n"/>
    </row>
    <row r="42" ht="15" customHeight="1" s="13">
      <c r="A42" s="20" t="n">
        <v>45680</v>
      </c>
      <c r="B42" s="16" t="inlineStr">
        <is>
          <t>7208/2017</t>
        </is>
      </c>
      <c r="C42" s="16" t="inlineStr">
        <is>
          <t>RECEIPT</t>
        </is>
      </c>
      <c r="D42" s="16" t="n">
        <v>50</v>
      </c>
      <c r="E42" s="16" t="inlineStr">
        <is>
          <t>9700009294</t>
        </is>
      </c>
      <c r="F42" s="16" t="n">
        <v>397.48</v>
      </c>
      <c r="G42" s="16" t="inlineStr">
        <is>
          <t>lab.store@jcb.com</t>
        </is>
      </c>
      <c r="H42" s="16" t="n"/>
    </row>
    <row r="43" ht="15" customHeight="1" s="13">
      <c r="A43" s="20" t="n">
        <v>45680</v>
      </c>
      <c r="B43" s="16" t="inlineStr">
        <is>
          <t>7208/1060</t>
        </is>
      </c>
      <c r="C43" s="16" t="inlineStr">
        <is>
          <t>RECEIPT</t>
        </is>
      </c>
      <c r="D43" s="16" t="n">
        <v>50</v>
      </c>
      <c r="E43" s="16" t="inlineStr">
        <is>
          <t>9700009294</t>
        </is>
      </c>
      <c r="F43" s="16" t="n">
        <v>99.37</v>
      </c>
      <c r="G43" s="16" t="inlineStr">
        <is>
          <t>lab.store@jcb.com</t>
        </is>
      </c>
      <c r="H43" s="16" t="n"/>
    </row>
    <row r="44" ht="15" customHeight="1" s="13">
      <c r="A44" s="20" t="n">
        <v>45680</v>
      </c>
      <c r="B44" s="16" t="inlineStr">
        <is>
          <t>7208/1050</t>
        </is>
      </c>
      <c r="C44" s="16" t="inlineStr">
        <is>
          <t>RECEIPT</t>
        </is>
      </c>
      <c r="D44" s="16" t="n">
        <v>50</v>
      </c>
      <c r="E44" s="16" t="inlineStr">
        <is>
          <t>9700009294</t>
        </is>
      </c>
      <c r="F44" s="16" t="n">
        <v>93.52</v>
      </c>
      <c r="G44" s="16" t="inlineStr">
        <is>
          <t>lab.store@jcb.com</t>
        </is>
      </c>
      <c r="H44" s="16" t="n"/>
    </row>
    <row r="45" ht="15" customHeight="1" s="13">
      <c r="A45" s="20" t="n">
        <v>45680</v>
      </c>
      <c r="B45" s="16" t="inlineStr">
        <is>
          <t>7208/1048</t>
        </is>
      </c>
      <c r="C45" s="16" t="inlineStr">
        <is>
          <t>RECEIPT</t>
        </is>
      </c>
      <c r="D45" s="16" t="n">
        <v>50</v>
      </c>
      <c r="E45" s="16" t="inlineStr">
        <is>
          <t>9700009294</t>
        </is>
      </c>
      <c r="F45" s="16" t="n">
        <v>87.68000000000001</v>
      </c>
      <c r="G45" s="16" t="inlineStr">
        <is>
          <t>lab.store@jcb.com</t>
        </is>
      </c>
      <c r="H45" s="16" t="n"/>
    </row>
    <row r="46" ht="15" customHeight="1" s="13">
      <c r="A46" s="20" t="n">
        <v>45680</v>
      </c>
      <c r="B46" s="16" t="inlineStr">
        <is>
          <t>7207/1406</t>
        </is>
      </c>
      <c r="C46" s="16" t="inlineStr">
        <is>
          <t>RECEIPT</t>
        </is>
      </c>
      <c r="D46" s="16" t="n">
        <v>50</v>
      </c>
      <c r="E46" s="16" t="inlineStr">
        <is>
          <t>9700009294</t>
        </is>
      </c>
      <c r="F46" s="16" t="n">
        <v>97.5</v>
      </c>
      <c r="G46" s="16" t="inlineStr">
        <is>
          <t>lab.store@jcb.com</t>
        </is>
      </c>
      <c r="H46" s="16" t="n"/>
    </row>
    <row r="47" ht="15" customHeight="1" s="13">
      <c r="A47" s="20" t="n">
        <v>45901</v>
      </c>
      <c r="B47" s="16" t="inlineStr">
        <is>
          <t>MC000ACZAUN7IG 9001</t>
        </is>
      </c>
      <c r="C47" s="16" t="inlineStr">
        <is>
          <t>RECEIPT</t>
        </is>
      </c>
      <c r="D47" s="16" t="n">
        <v>2</v>
      </c>
      <c r="E47" s="16" t="inlineStr">
        <is>
          <t>9700009838</t>
        </is>
      </c>
      <c r="F47" s="16" t="n"/>
      <c r="G47" s="16" t="inlineStr">
        <is>
          <t>lab.store@jcb.com</t>
        </is>
      </c>
      <c r="H47" s="16" t="n"/>
    </row>
    <row r="48" ht="15" customHeight="1" s="13">
      <c r="A48" s="20" t="n">
        <v>45901</v>
      </c>
      <c r="B48" s="16" t="inlineStr">
        <is>
          <t>MC000AAOAVO2IH 4001 8</t>
        </is>
      </c>
      <c r="C48" s="16" t="inlineStr">
        <is>
          <t>RECEIPT</t>
        </is>
      </c>
      <c r="D48" s="16" t="n">
        <v>1</v>
      </c>
      <c r="E48" s="16" t="inlineStr">
        <is>
          <t>9700009838</t>
        </is>
      </c>
      <c r="F48" s="16" t="n"/>
      <c r="G48" s="16" t="inlineStr">
        <is>
          <t>lab.store@jcb.com</t>
        </is>
      </c>
      <c r="H48" s="16" t="n"/>
    </row>
    <row r="49" ht="15" customHeight="1" s="13">
      <c r="A49" s="20" t="n">
        <v>45901</v>
      </c>
      <c r="B49" s="16" t="inlineStr">
        <is>
          <t>MC000ADBAFO6XX X001</t>
        </is>
      </c>
      <c r="C49" s="16" t="inlineStr">
        <is>
          <t>RECEIPT</t>
        </is>
      </c>
      <c r="D49" s="16" t="n">
        <v>1</v>
      </c>
      <c r="E49" s="16" t="inlineStr">
        <is>
          <t>9700009838</t>
        </is>
      </c>
      <c r="F49" s="16" t="n"/>
      <c r="G49" s="16" t="inlineStr">
        <is>
          <t>lab.store@jcb.com</t>
        </is>
      </c>
      <c r="H49" s="16" t="n"/>
    </row>
    <row r="50" ht="15" customHeight="1" s="13">
      <c r="A50" s="20" t="n">
        <v>45901</v>
      </c>
      <c r="B50" s="16" t="inlineStr">
        <is>
          <t>MC000ACZAF07IH7 001</t>
        </is>
      </c>
      <c r="C50" s="16" t="inlineStr">
        <is>
          <t>RECEIPT</t>
        </is>
      </c>
      <c r="D50" s="16" t="n">
        <v>1</v>
      </c>
      <c r="E50" s="16" t="inlineStr">
        <is>
          <t>9700009838</t>
        </is>
      </c>
      <c r="F50" s="16" t="n"/>
      <c r="G50" s="16" t="inlineStr">
        <is>
          <t>lab.store@jcb.com</t>
        </is>
      </c>
      <c r="H50" s="16" t="n"/>
    </row>
    <row r="51" ht="15" customHeight="1" s="13">
      <c r="A51" s="20" t="n">
        <v>45901</v>
      </c>
      <c r="B51" s="16" t="inlineStr">
        <is>
          <t>MC000ADAAFO7IH 8001</t>
        </is>
      </c>
      <c r="C51" s="16" t="inlineStr">
        <is>
          <t>RECEIPT</t>
        </is>
      </c>
      <c r="D51" s="16" t="n">
        <v>1</v>
      </c>
      <c r="E51" s="16" t="inlineStr">
        <is>
          <t>9700009838</t>
        </is>
      </c>
      <c r="F51" s="16" t="n"/>
      <c r="G51" s="16" t="inlineStr">
        <is>
          <t>lab.store@jcb.com</t>
        </is>
      </c>
      <c r="H51" s="16" t="n"/>
    </row>
    <row r="52" ht="15" customHeight="1" s="13">
      <c r="A52" s="20" t="n">
        <v>45901</v>
      </c>
      <c r="B52" s="16" t="inlineStr">
        <is>
          <t>MC000ACZAWO5X XX001</t>
        </is>
      </c>
      <c r="C52" s="16" t="inlineStr">
        <is>
          <t>RECEIPT</t>
        </is>
      </c>
      <c r="D52" s="16" t="n">
        <v>1</v>
      </c>
      <c r="E52" s="16" t="inlineStr">
        <is>
          <t>9700009838</t>
        </is>
      </c>
      <c r="F52" s="16" t="n"/>
      <c r="G52" s="16" t="inlineStr">
        <is>
          <t>lab.store@jcb.com</t>
        </is>
      </c>
      <c r="H52" s="16" t="n"/>
    </row>
    <row r="53" ht="15" customHeight="1" s="13">
      <c r="A53" s="20" t="n">
        <v>45901</v>
      </c>
      <c r="B53" s="16" t="inlineStr">
        <is>
          <t>P_CON_TOOL_RS_219</t>
        </is>
      </c>
      <c r="C53" s="16" t="inlineStr">
        <is>
          <t>RECEIPT</t>
        </is>
      </c>
      <c r="D53" s="16" t="n">
        <v>2</v>
      </c>
      <c r="E53" s="16" t="inlineStr">
        <is>
          <t>9700008285</t>
        </is>
      </c>
      <c r="F53" s="16" t="n">
        <v>40900</v>
      </c>
      <c r="G53" s="16" t="inlineStr">
        <is>
          <t>lab.store@jcb.com</t>
        </is>
      </c>
      <c r="H53" s="16" t="n"/>
    </row>
    <row r="54" ht="15" customHeight="1" s="13">
      <c r="A54" s="20" t="n">
        <v>45901</v>
      </c>
      <c r="B54" s="16" t="inlineStr">
        <is>
          <t>7219/0494</t>
        </is>
      </c>
      <c r="C54" s="16" t="inlineStr">
        <is>
          <t>RECEIPT</t>
        </is>
      </c>
      <c r="D54" s="16" t="n">
        <v>3</v>
      </c>
      <c r="E54" s="16" t="n"/>
      <c r="F54" s="16" t="n"/>
      <c r="G54" s="16" t="inlineStr">
        <is>
          <t>lab.store@jcb.com</t>
        </is>
      </c>
      <c r="H54" s="16" t="n"/>
    </row>
    <row r="55" ht="15" customHeight="1" s="13">
      <c r="A55" s="20" t="n">
        <v>45901</v>
      </c>
      <c r="B55" s="16" t="inlineStr">
        <is>
          <t>7219/0493</t>
        </is>
      </c>
      <c r="C55" s="16" t="inlineStr">
        <is>
          <t>RECEIPT</t>
        </is>
      </c>
      <c r="D55" s="16" t="n">
        <v>3</v>
      </c>
      <c r="E55" s="16" t="n"/>
      <c r="F55" s="16" t="n"/>
      <c r="G55" s="16" t="inlineStr">
        <is>
          <t>lab.store@jcb.com</t>
        </is>
      </c>
      <c r="H55" s="16" t="n"/>
    </row>
    <row r="56" ht="15" customHeight="1" s="13">
      <c r="A56" s="20" t="n">
        <v>45901</v>
      </c>
      <c r="B56" s="16" t="inlineStr">
        <is>
          <t>7201/1137</t>
        </is>
      </c>
      <c r="C56" s="16" t="inlineStr">
        <is>
          <t>RECEIPT</t>
        </is>
      </c>
      <c r="D56" s="16" t="n">
        <v>50</v>
      </c>
      <c r="E56" s="16" t="n"/>
      <c r="F56" s="16" t="n"/>
      <c r="G56" s="16" t="inlineStr">
        <is>
          <t>lab.store@jcb.com</t>
        </is>
      </c>
      <c r="H56" s="16" t="n"/>
    </row>
    <row r="57" ht="15" customHeight="1" s="13">
      <c r="A57" s="20" t="n">
        <v>45901</v>
      </c>
      <c r="B57" s="16" t="inlineStr">
        <is>
          <t>7219/0494</t>
        </is>
      </c>
      <c r="C57" s="16" t="inlineStr">
        <is>
          <t>RECEIPT</t>
        </is>
      </c>
      <c r="D57" s="16" t="n">
        <v>1</v>
      </c>
      <c r="E57" s="16" t="inlineStr">
        <is>
          <t>FOC_TE_15</t>
        </is>
      </c>
      <c r="F57" s="16" t="n"/>
      <c r="G57" s="16" t="inlineStr">
        <is>
          <t>lab.store@jcb.com</t>
        </is>
      </c>
      <c r="H57" s="16" t="n"/>
    </row>
    <row r="58" ht="15" customHeight="1" s="13">
      <c r="A58" s="20" t="n">
        <v>45901</v>
      </c>
      <c r="B58" s="16" t="inlineStr">
        <is>
          <t>402/R5392</t>
        </is>
      </c>
      <c r="C58" s="16" t="inlineStr">
        <is>
          <t>RECEIPT</t>
        </is>
      </c>
      <c r="D58" s="16" t="n">
        <v>1</v>
      </c>
      <c r="E58" s="16" t="inlineStr">
        <is>
          <t>RIG MATERIAL_STU_XP</t>
        </is>
      </c>
      <c r="F58" s="16" t="n"/>
      <c r="G58" s="16" t="inlineStr">
        <is>
          <t>lab.store@jcb.com</t>
        </is>
      </c>
      <c r="H58" s="16" t="n"/>
    </row>
    <row r="59" ht="15" customHeight="1" s="13">
      <c r="A59" s="20" t="n">
        <v>45901</v>
      </c>
      <c r="B59" s="16" t="inlineStr">
        <is>
          <t>402/RX2039</t>
        </is>
      </c>
      <c r="C59" s="16" t="inlineStr">
        <is>
          <t>RECEIPT</t>
        </is>
      </c>
      <c r="D59" s="16" t="n">
        <v>1</v>
      </c>
      <c r="E59" s="16" t="inlineStr">
        <is>
          <t>RIG MATERIAL_STU_XP</t>
        </is>
      </c>
      <c r="F59" s="16" t="n"/>
      <c r="G59" s="16" t="inlineStr">
        <is>
          <t>lab.store@jcb.com</t>
        </is>
      </c>
      <c r="H59" s="16" t="n"/>
    </row>
    <row r="60" ht="15" customHeight="1" s="13">
      <c r="A60" s="20" t="n">
        <v>45901</v>
      </c>
      <c r="B60" s="16" t="inlineStr">
        <is>
          <t>402/R5384</t>
        </is>
      </c>
      <c r="C60" s="16" t="inlineStr">
        <is>
          <t>RECEIPT</t>
        </is>
      </c>
      <c r="D60" s="16" t="n">
        <v>3</v>
      </c>
      <c r="E60" s="16" t="inlineStr">
        <is>
          <t>RIG MATERIAL_STU_XP</t>
        </is>
      </c>
      <c r="F60" s="16" t="n"/>
      <c r="G60" s="16" t="inlineStr">
        <is>
          <t>lab.store@jcb.com</t>
        </is>
      </c>
      <c r="H60" s="16" t="n"/>
    </row>
    <row r="61" ht="15" customHeight="1" s="13">
      <c r="A61" s="20" t="n">
        <v>45901</v>
      </c>
      <c r="B61" s="16" t="inlineStr">
        <is>
          <t>334/E1468</t>
        </is>
      </c>
      <c r="C61" s="16" t="inlineStr">
        <is>
          <t>RECEIPT</t>
        </is>
      </c>
      <c r="D61" s="16" t="n">
        <v>1</v>
      </c>
      <c r="E61" s="16" t="inlineStr">
        <is>
          <t>RIG MATERIAL_STU_XP</t>
        </is>
      </c>
      <c r="F61" s="16" t="n"/>
      <c r="G61" s="16" t="inlineStr">
        <is>
          <t>lab.store@jcb.com</t>
        </is>
      </c>
      <c r="H61" s="16" t="n"/>
    </row>
    <row r="62" ht="15" customHeight="1" s="13">
      <c r="A62" s="20" t="n">
        <v>45901</v>
      </c>
      <c r="B62" s="16" t="inlineStr">
        <is>
          <t>334/E1467</t>
        </is>
      </c>
      <c r="C62" s="16" t="inlineStr">
        <is>
          <t>RECEIPT</t>
        </is>
      </c>
      <c r="D62" s="16" t="n">
        <v>1</v>
      </c>
      <c r="E62" s="16" t="inlineStr">
        <is>
          <t>RIG MATERIAL_STU_XP</t>
        </is>
      </c>
      <c r="F62" s="16" t="n"/>
      <c r="G62" s="16" t="inlineStr">
        <is>
          <t>lab.store@jcb.com</t>
        </is>
      </c>
      <c r="H62" s="16" t="n"/>
    </row>
    <row r="63" ht="15" customHeight="1" s="13">
      <c r="A63" s="20" t="n">
        <v>45901</v>
      </c>
      <c r="B63" s="16" t="inlineStr">
        <is>
          <t>402/R5326</t>
        </is>
      </c>
      <c r="C63" s="16" t="inlineStr">
        <is>
          <t>RECEIPT</t>
        </is>
      </c>
      <c r="D63" s="16" t="n">
        <v>1</v>
      </c>
      <c r="E63" s="16" t="inlineStr">
        <is>
          <t>RIG MATERIAL_STU_XP</t>
        </is>
      </c>
      <c r="F63" s="16" t="n"/>
      <c r="G63" s="16" t="inlineStr">
        <is>
          <t>lab.store@jcb.com</t>
        </is>
      </c>
      <c r="H63" s="16" t="n"/>
    </row>
    <row r="64" ht="15" customHeight="1" s="13">
      <c r="A64" s="20" t="n">
        <v>45901</v>
      </c>
      <c r="B64" s="16" t="inlineStr">
        <is>
          <t>403/W7443</t>
        </is>
      </c>
      <c r="C64" s="16" t="inlineStr">
        <is>
          <t>RECEIPT</t>
        </is>
      </c>
      <c r="D64" s="16" t="n">
        <v>1</v>
      </c>
      <c r="E64" s="16" t="inlineStr">
        <is>
          <t>RIG MATERIAL_STU_XP</t>
        </is>
      </c>
      <c r="F64" s="16" t="n"/>
      <c r="G64" s="16" t="inlineStr">
        <is>
          <t>lab.store@jcb.com</t>
        </is>
      </c>
      <c r="H64" s="16" t="n"/>
    </row>
    <row r="65" ht="15" customHeight="1" s="13">
      <c r="A65" s="20" t="n">
        <v>45901</v>
      </c>
      <c r="B65" s="16" t="inlineStr">
        <is>
          <t>402/R5324</t>
        </is>
      </c>
      <c r="C65" s="16" t="inlineStr">
        <is>
          <t>RECEIPT</t>
        </is>
      </c>
      <c r="D65" s="16" t="n">
        <v>1</v>
      </c>
      <c r="E65" s="16" t="inlineStr">
        <is>
          <t>RIG MATERIAL_STU_XP</t>
        </is>
      </c>
      <c r="F65" s="16" t="n"/>
      <c r="G65" s="16" t="inlineStr">
        <is>
          <t>lab.store@jcb.com</t>
        </is>
      </c>
      <c r="H65" s="16" t="n"/>
    </row>
    <row r="66" ht="15" customHeight="1" s="13">
      <c r="A66" s="20" t="n">
        <v>45901</v>
      </c>
      <c r="B66" s="16" t="inlineStr">
        <is>
          <t>728/J8518</t>
        </is>
      </c>
      <c r="C66" s="16" t="inlineStr">
        <is>
          <t>RECEIPT</t>
        </is>
      </c>
      <c r="D66" s="16" t="n">
        <v>1</v>
      </c>
      <c r="E66" s="16" t="inlineStr">
        <is>
          <t>RIG MATERIAL_STU_XP</t>
        </is>
      </c>
      <c r="F66" s="16" t="n"/>
      <c r="G66" s="16" t="inlineStr">
        <is>
          <t>lab.store@jcb.com</t>
        </is>
      </c>
      <c r="H66" s="16" t="n"/>
    </row>
    <row r="67" ht="15" customHeight="1" s="13">
      <c r="A67" s="20" t="n">
        <v>45901</v>
      </c>
      <c r="B67" s="16" t="inlineStr">
        <is>
          <t>MC000SCVMMMJJ002</t>
        </is>
      </c>
      <c r="C67" s="16" t="inlineStr">
        <is>
          <t>RECEIPT</t>
        </is>
      </c>
      <c r="D67" s="16" t="n">
        <v>600</v>
      </c>
      <c r="E67" s="16" t="inlineStr">
        <is>
          <t>9700010133</t>
        </is>
      </c>
      <c r="F67" s="16" t="n">
        <v>27.3</v>
      </c>
      <c r="G67" s="16" t="inlineStr">
        <is>
          <t>lab.store@jcb.com</t>
        </is>
      </c>
      <c r="H67" s="16" t="n"/>
    </row>
    <row r="68" ht="15" customHeight="1" s="13">
      <c r="A68" s="20" t="n">
        <v>45901</v>
      </c>
      <c r="B68" s="16" t="inlineStr">
        <is>
          <t>MC000SCMVAQJJ001</t>
        </is>
      </c>
      <c r="C68" s="16" t="inlineStr">
        <is>
          <t>RECEIPT</t>
        </is>
      </c>
      <c r="D68" s="16" t="n">
        <v>300</v>
      </c>
      <c r="E68" s="16" t="inlineStr">
        <is>
          <t>9700010133</t>
        </is>
      </c>
      <c r="F68" s="16" t="n">
        <v>32.4</v>
      </c>
      <c r="G68" s="16" t="inlineStr">
        <is>
          <t>lab.store@jcb.com</t>
        </is>
      </c>
      <c r="H68" s="16" t="n"/>
    </row>
    <row r="69" ht="15" customHeight="1" s="13">
      <c r="A69" s="20" t="n">
        <v>45901</v>
      </c>
      <c r="B69" s="16" t="inlineStr">
        <is>
          <t>MC000SCAAYUJJ001</t>
        </is>
      </c>
      <c r="C69" s="16" t="inlineStr">
        <is>
          <t>RECEIPT</t>
        </is>
      </c>
      <c r="D69" s="16" t="n">
        <v>150</v>
      </c>
      <c r="E69" s="16" t="inlineStr">
        <is>
          <t>9700010133</t>
        </is>
      </c>
      <c r="F69" s="16" t="n">
        <v>43</v>
      </c>
      <c r="G69" s="16" t="inlineStr">
        <is>
          <t>lab.store@jcb.com</t>
        </is>
      </c>
      <c r="H69" s="16" t="n"/>
    </row>
    <row r="70" ht="15" customHeight="1" s="13">
      <c r="A70" s="20" t="n">
        <v>45901</v>
      </c>
      <c r="B70" s="16" t="inlineStr">
        <is>
          <t>MC000SCBBILJJ001</t>
        </is>
      </c>
      <c r="C70" s="16" t="inlineStr">
        <is>
          <t>RECEIPT</t>
        </is>
      </c>
      <c r="D70" s="16" t="n">
        <v>150</v>
      </c>
      <c r="E70" s="16" t="inlineStr">
        <is>
          <t>9700010133</t>
        </is>
      </c>
      <c r="F70" s="16" t="n">
        <v>57.3</v>
      </c>
      <c r="G70" s="16" t="inlineStr">
        <is>
          <t>lab.store@jcb.com</t>
        </is>
      </c>
      <c r="H70" s="16" t="n"/>
    </row>
    <row r="71" ht="15" customHeight="1" s="13">
      <c r="A71" s="20" t="n">
        <v>45901</v>
      </c>
      <c r="B71" s="16" t="inlineStr">
        <is>
          <t>MC000SCCCOPJJ001</t>
        </is>
      </c>
      <c r="C71" s="16" t="inlineStr">
        <is>
          <t>RECEIPT</t>
        </is>
      </c>
      <c r="D71" s="16" t="n">
        <v>300</v>
      </c>
      <c r="E71" s="16" t="inlineStr">
        <is>
          <t>9700010133</t>
        </is>
      </c>
      <c r="F71" s="16" t="n">
        <v>93.2</v>
      </c>
      <c r="G71" s="16" t="inlineStr">
        <is>
          <t>lab.store@jcb.com</t>
        </is>
      </c>
      <c r="H71" s="16" t="n"/>
    </row>
    <row r="72" ht="15" customHeight="1" s="13">
      <c r="A72" s="20" t="n">
        <v>45901</v>
      </c>
      <c r="B72" s="16" t="inlineStr">
        <is>
          <t>MC000SCQQPOJJ001</t>
        </is>
      </c>
      <c r="C72" s="16" t="inlineStr">
        <is>
          <t>RECEIPT</t>
        </is>
      </c>
      <c r="D72" s="16" t="n">
        <v>150</v>
      </c>
      <c r="E72" s="16" t="inlineStr">
        <is>
          <t>9700010133</t>
        </is>
      </c>
      <c r="F72" s="16" t="n">
        <v>129</v>
      </c>
      <c r="G72" s="16" t="inlineStr">
        <is>
          <t>lab.store@jcb.com</t>
        </is>
      </c>
      <c r="H72" s="16" t="n"/>
    </row>
    <row r="73" ht="15" customHeight="1" s="13">
      <c r="A73" s="20" t="n">
        <v>45901</v>
      </c>
      <c r="B73" s="16" t="inlineStr">
        <is>
          <t>MC000SCNHWEJJ001</t>
        </is>
      </c>
      <c r="C73" s="16" t="inlineStr">
        <is>
          <t>RECEIPT</t>
        </is>
      </c>
      <c r="D73" s="16" t="n">
        <v>150</v>
      </c>
      <c r="E73" s="16" t="inlineStr">
        <is>
          <t>9700010133</t>
        </is>
      </c>
      <c r="F73" s="16" t="n">
        <v>153.5</v>
      </c>
      <c r="G73" s="16" t="inlineStr">
        <is>
          <t>lab.store@jcb.com</t>
        </is>
      </c>
      <c r="H73" s="16" t="n"/>
    </row>
    <row r="74" ht="15" customHeight="1" s="13">
      <c r="A74" s="20" t="n">
        <v>45901</v>
      </c>
      <c r="B74" s="16" t="inlineStr">
        <is>
          <t>MC000SCUUREJJ001</t>
        </is>
      </c>
      <c r="C74" s="16" t="inlineStr">
        <is>
          <t>RECEIPT</t>
        </is>
      </c>
      <c r="D74" s="16" t="n">
        <v>150</v>
      </c>
      <c r="E74" s="16" t="inlineStr">
        <is>
          <t>9700010133</t>
        </is>
      </c>
      <c r="F74" s="16" t="n">
        <v>236</v>
      </c>
      <c r="G74" s="16" t="inlineStr">
        <is>
          <t>lab.store@jcb.com</t>
        </is>
      </c>
      <c r="H74" s="16" t="n"/>
    </row>
    <row r="75" ht="15" customHeight="1" s="13">
      <c r="A75" s="20" t="n">
        <v>45901</v>
      </c>
      <c r="B75" s="16" t="inlineStr">
        <is>
          <t>MC000SCVVBBJJ001</t>
        </is>
      </c>
      <c r="C75" s="16" t="inlineStr">
        <is>
          <t>RECEIPT</t>
        </is>
      </c>
      <c r="D75" s="16" t="n">
        <v>29.5</v>
      </c>
      <c r="E75" s="16" t="inlineStr">
        <is>
          <t>9700010133</t>
        </is>
      </c>
      <c r="F75" s="16" t="n">
        <v>29.5</v>
      </c>
      <c r="G75" s="16" t="inlineStr">
        <is>
          <t>lab.store@jcb.com</t>
        </is>
      </c>
      <c r="H75" s="16" t="n"/>
    </row>
    <row r="76" ht="15" customHeight="1" s="13">
      <c r="A76" s="20" t="n">
        <v>45901</v>
      </c>
      <c r="B76" s="16" t="inlineStr">
        <is>
          <t>P_CON_HARD_GEN_802</t>
        </is>
      </c>
      <c r="C76" s="16" t="inlineStr">
        <is>
          <t>RECEIPT</t>
        </is>
      </c>
      <c r="D76" s="16" t="n">
        <v>1</v>
      </c>
      <c r="E76" s="16" t="inlineStr">
        <is>
          <t>9700010133</t>
        </is>
      </c>
      <c r="F76" s="16" t="n">
        <v>975</v>
      </c>
      <c r="G76" s="16" t="inlineStr">
        <is>
          <t>lab.store@jcb.com</t>
        </is>
      </c>
      <c r="H76" s="16" t="n"/>
    </row>
    <row r="77" ht="15" customHeight="1" s="13">
      <c r="A77" s="20" t="n">
        <v>45901</v>
      </c>
      <c r="B77" s="16" t="inlineStr">
        <is>
          <t>P_CON_HARD_GEN_803</t>
        </is>
      </c>
      <c r="C77" s="16" t="inlineStr">
        <is>
          <t>RECEIPT</t>
        </is>
      </c>
      <c r="D77" s="16" t="n">
        <v>4</v>
      </c>
      <c r="E77" s="16" t="inlineStr">
        <is>
          <t>9700010133</t>
        </is>
      </c>
      <c r="F77" s="16" t="n">
        <v>1800</v>
      </c>
      <c r="G77" s="16" t="inlineStr">
        <is>
          <t>lab.store@jcb.com</t>
        </is>
      </c>
      <c r="H77" s="16" t="n"/>
    </row>
    <row r="78" ht="15" customHeight="1" s="13">
      <c r="A78" s="20" t="n">
        <v>45901</v>
      </c>
      <c r="B78" s="16" t="inlineStr">
        <is>
          <t>P_CON_FER_KIRON_01</t>
        </is>
      </c>
      <c r="C78" s="16" t="inlineStr">
        <is>
          <t>RECEIPT</t>
        </is>
      </c>
      <c r="D78" s="16" t="n">
        <v>100</v>
      </c>
      <c r="E78" s="16" t="inlineStr">
        <is>
          <t>9700010133</t>
        </is>
      </c>
      <c r="F78" s="16" t="n">
        <v>2.2</v>
      </c>
      <c r="G78" s="16" t="inlineStr">
        <is>
          <t>lab.store@jcb.com</t>
        </is>
      </c>
      <c r="H78" s="16" t="n"/>
    </row>
    <row r="79" ht="15" customHeight="1" s="13">
      <c r="A79" s="20" t="n">
        <v>45901</v>
      </c>
      <c r="B79" s="16" t="inlineStr">
        <is>
          <t>P_CON_FER_KIRON_02</t>
        </is>
      </c>
      <c r="C79" s="16" t="inlineStr">
        <is>
          <t>RECEIPT</t>
        </is>
      </c>
      <c r="D79" s="16" t="n">
        <v>100</v>
      </c>
      <c r="E79" s="16" t="inlineStr">
        <is>
          <t>9700010133</t>
        </is>
      </c>
      <c r="F79" s="16" t="n">
        <v>3.5</v>
      </c>
      <c r="G79" s="16" t="inlineStr">
        <is>
          <t>lab.store@jcb.com</t>
        </is>
      </c>
      <c r="H79" s="16" t="n"/>
    </row>
    <row r="80" ht="15" customHeight="1" s="13">
      <c r="A80" s="20" t="n">
        <v>45901</v>
      </c>
      <c r="B80" s="16" t="inlineStr">
        <is>
          <t>P_CON_FER_KIRON_03</t>
        </is>
      </c>
      <c r="C80" s="16" t="inlineStr">
        <is>
          <t>RECEIPT</t>
        </is>
      </c>
      <c r="D80" s="16" t="n">
        <v>100</v>
      </c>
      <c r="E80" s="16" t="inlineStr">
        <is>
          <t>9700010133</t>
        </is>
      </c>
      <c r="F80" s="16" t="n">
        <v>4.5</v>
      </c>
      <c r="G80" s="16" t="inlineStr">
        <is>
          <t>lab.store@jcb.com</t>
        </is>
      </c>
      <c r="H80" s="16" t="n"/>
    </row>
    <row r="81" ht="15" customHeight="1" s="13">
      <c r="A81" s="20" t="n">
        <v>45901</v>
      </c>
      <c r="B81" s="16" t="inlineStr">
        <is>
          <t>P_CON_FER_KIRON_04</t>
        </is>
      </c>
      <c r="C81" s="16" t="inlineStr">
        <is>
          <t>RECEIPT</t>
        </is>
      </c>
      <c r="D81" s="16" t="n">
        <v>100</v>
      </c>
      <c r="E81" s="16" t="inlineStr">
        <is>
          <t>9700010133</t>
        </is>
      </c>
      <c r="F81" s="16" t="n">
        <v>6.5</v>
      </c>
      <c r="G81" s="16" t="inlineStr">
        <is>
          <t>lab.store@jcb.com</t>
        </is>
      </c>
      <c r="H81" s="16" t="n"/>
    </row>
    <row r="82" ht="15" customHeight="1" s="13">
      <c r="A82" s="20" t="n">
        <v>45901</v>
      </c>
      <c r="B82" s="16" t="inlineStr">
        <is>
          <t>P_CON_FER_KIRON_05</t>
        </is>
      </c>
      <c r="C82" s="16" t="inlineStr">
        <is>
          <t>RECEIPT</t>
        </is>
      </c>
      <c r="D82" s="16" t="n">
        <v>100</v>
      </c>
      <c r="E82" s="16" t="inlineStr">
        <is>
          <t>9700010133</t>
        </is>
      </c>
      <c r="F82" s="16" t="n">
        <v>9.5</v>
      </c>
      <c r="G82" s="16" t="inlineStr">
        <is>
          <t>lab.store@jcb.com</t>
        </is>
      </c>
      <c r="H82" s="16" t="n"/>
    </row>
    <row r="83" ht="15" customHeight="1" s="13">
      <c r="A83" s="20" t="n">
        <v>45901</v>
      </c>
      <c r="B83" s="16" t="inlineStr">
        <is>
          <t>7212/0081</t>
        </is>
      </c>
      <c r="C83" s="16" t="inlineStr">
        <is>
          <t>RECEIPT</t>
        </is>
      </c>
      <c r="D83" s="16" t="n">
        <v>10</v>
      </c>
      <c r="E83" s="16" t="n"/>
      <c r="F83" s="16" t="n"/>
      <c r="G83" s="16" t="inlineStr">
        <is>
          <t>lab.store@jcb.com</t>
        </is>
      </c>
      <c r="H83" s="16" t="n"/>
    </row>
    <row r="84" ht="15" customHeight="1" s="13">
      <c r="A84" s="20" t="n">
        <v>45901</v>
      </c>
      <c r="B84" s="16" t="inlineStr">
        <is>
          <t>7212/0051</t>
        </is>
      </c>
      <c r="C84" s="16" t="inlineStr">
        <is>
          <t>RECEIPT</t>
        </is>
      </c>
      <c r="D84" s="16" t="n">
        <v>10</v>
      </c>
      <c r="E84" s="16" t="n"/>
      <c r="F84" s="16" t="n"/>
      <c r="G84" s="16" t="inlineStr">
        <is>
          <t>lab.store@jcb.com</t>
        </is>
      </c>
      <c r="H84" s="16" t="n"/>
    </row>
    <row r="85" ht="15" customHeight="1" s="13">
      <c r="A85" s="20" t="n">
        <v>45901</v>
      </c>
      <c r="B85" s="16" t="inlineStr">
        <is>
          <t>7219/0169</t>
        </is>
      </c>
      <c r="C85" s="16" t="inlineStr">
        <is>
          <t>RECEIPT</t>
        </is>
      </c>
      <c r="D85" s="16" t="n">
        <v>30</v>
      </c>
      <c r="E85" s="16" t="n"/>
      <c r="F85" s="16" t="n"/>
      <c r="G85" s="16" t="inlineStr">
        <is>
          <t>lab.store@jcb.com</t>
        </is>
      </c>
      <c r="H85" s="16" t="n"/>
    </row>
    <row r="86" ht="15" customHeight="1" s="13">
      <c r="A86" s="20" t="n">
        <v>45901</v>
      </c>
      <c r="B86" s="16" t="inlineStr">
        <is>
          <t>7216/0060</t>
        </is>
      </c>
      <c r="C86" s="16" t="inlineStr">
        <is>
          <t>RECEIPT</t>
        </is>
      </c>
      <c r="D86" s="16" t="n">
        <v>10</v>
      </c>
      <c r="E86" s="16" t="n"/>
      <c r="F86" s="16" t="n"/>
      <c r="G86" s="16" t="inlineStr">
        <is>
          <t>lab.store@jcb.com</t>
        </is>
      </c>
      <c r="H86" s="16" t="n"/>
    </row>
    <row r="87" ht="15" customHeight="1" s="13">
      <c r="A87" s="20" t="n">
        <v>45901</v>
      </c>
      <c r="B87" s="16" t="inlineStr">
        <is>
          <t>7216/0018</t>
        </is>
      </c>
      <c r="C87" s="16" t="inlineStr">
        <is>
          <t>RECEIPT</t>
        </is>
      </c>
      <c r="D87" s="16" t="n">
        <v>10</v>
      </c>
      <c r="E87" s="16" t="n"/>
      <c r="F87" s="16" t="n"/>
      <c r="G87" s="16" t="inlineStr">
        <is>
          <t>lab.store@jcb.com</t>
        </is>
      </c>
      <c r="H87" s="16" t="n"/>
    </row>
    <row r="88" ht="15" customHeight="1" s="13">
      <c r="A88" s="20" t="n">
        <v>45901</v>
      </c>
      <c r="B88" s="16" t="inlineStr">
        <is>
          <t>7212/0052</t>
        </is>
      </c>
      <c r="C88" s="16" t="inlineStr">
        <is>
          <t>RECEIPT</t>
        </is>
      </c>
      <c r="D88" s="16" t="n">
        <v>10</v>
      </c>
      <c r="E88" s="16" t="n"/>
      <c r="F88" s="16" t="n"/>
      <c r="G88" s="16" t="inlineStr">
        <is>
          <t>lab.store@jcb.com</t>
        </is>
      </c>
      <c r="H88" s="16" t="n"/>
    </row>
    <row r="89" ht="15" customHeight="1" s="13">
      <c r="A89" s="20" t="n">
        <v>45901</v>
      </c>
      <c r="B89" s="16" t="inlineStr">
        <is>
          <t>7219/0403</t>
        </is>
      </c>
      <c r="C89" s="16" t="inlineStr">
        <is>
          <t>RECEIPT</t>
        </is>
      </c>
      <c r="D89" s="16" t="n">
        <v>10</v>
      </c>
      <c r="E89" s="16" t="n"/>
      <c r="F89" s="16" t="n"/>
      <c r="G89" s="16" t="inlineStr">
        <is>
          <t>lab.store@jcb.com</t>
        </is>
      </c>
      <c r="H89" s="16" t="n"/>
    </row>
    <row r="90" ht="15" customHeight="1" s="13">
      <c r="A90" s="20" t="n">
        <v>45901</v>
      </c>
      <c r="B90" s="16" t="inlineStr">
        <is>
          <t>7239/0088</t>
        </is>
      </c>
      <c r="C90" s="16" t="inlineStr">
        <is>
          <t>RECEIPT</t>
        </is>
      </c>
      <c r="D90" s="16" t="n">
        <v>10</v>
      </c>
      <c r="E90" s="16" t="n"/>
      <c r="F90" s="16" t="n"/>
      <c r="G90" s="16" t="inlineStr">
        <is>
          <t>lab.store@jcb.com</t>
        </is>
      </c>
      <c r="H90" s="16" t="n"/>
    </row>
    <row r="91" ht="15" customHeight="1" s="13">
      <c r="A91" s="20" t="n">
        <v>45901</v>
      </c>
      <c r="B91" s="16" t="inlineStr">
        <is>
          <t>727/00002</t>
        </is>
      </c>
      <c r="C91" s="16" t="inlineStr">
        <is>
          <t>RECEIPT</t>
        </is>
      </c>
      <c r="D91" s="16" t="n">
        <v>10</v>
      </c>
      <c r="E91" s="16" t="n"/>
      <c r="F91" s="16" t="n"/>
      <c r="G91" s="16" t="inlineStr">
        <is>
          <t>lab.store@jcb.com</t>
        </is>
      </c>
      <c r="H91" s="16" t="n"/>
    </row>
    <row r="92" ht="15" customHeight="1" s="13">
      <c r="A92" s="20" t="n">
        <v>45901</v>
      </c>
      <c r="B92" s="16" t="inlineStr">
        <is>
          <t>7212/0052</t>
        </is>
      </c>
      <c r="C92" s="16" t="inlineStr">
        <is>
          <t>RECEIPT</t>
        </is>
      </c>
      <c r="D92" s="16" t="n">
        <v>10</v>
      </c>
      <c r="E92" s="16" t="n"/>
      <c r="F92" s="16" t="n"/>
      <c r="G92" s="16" t="inlineStr">
        <is>
          <t>lab.store@jcb.com</t>
        </is>
      </c>
      <c r="H92" s="16" t="n"/>
    </row>
    <row r="93" ht="15" customHeight="1" s="13">
      <c r="A93" s="20" t="n">
        <v>45901</v>
      </c>
      <c r="B93" s="16" t="inlineStr">
        <is>
          <t>7213/0031</t>
        </is>
      </c>
      <c r="C93" s="16" t="inlineStr">
        <is>
          <t>RECEIPT</t>
        </is>
      </c>
      <c r="D93" s="16" t="n">
        <v>5</v>
      </c>
      <c r="E93" s="16" t="n"/>
      <c r="F93" s="16" t="n"/>
      <c r="G93" s="16" t="inlineStr">
        <is>
          <t>lab.store@jcb.com</t>
        </is>
      </c>
      <c r="H93" s="16" t="n"/>
    </row>
    <row r="94" ht="15" customHeight="1" s="13">
      <c r="A94" s="20" t="n">
        <v>45901</v>
      </c>
      <c r="B94" s="16" t="inlineStr">
        <is>
          <t>7219/0018</t>
        </is>
      </c>
      <c r="C94" s="16" t="inlineStr">
        <is>
          <t>RECEIPT</t>
        </is>
      </c>
      <c r="D94" s="16" t="n">
        <v>10</v>
      </c>
      <c r="E94" s="16" t="n"/>
      <c r="F94" s="16" t="n"/>
      <c r="G94" s="16" t="inlineStr">
        <is>
          <t>lab.store@jcb.com</t>
        </is>
      </c>
      <c r="H94" s="16" t="n"/>
    </row>
    <row r="95" ht="15" customHeight="1" s="13">
      <c r="A95" s="20" t="n">
        <v>45901</v>
      </c>
      <c r="B95" s="16" t="inlineStr">
        <is>
          <t>7213/0031</t>
        </is>
      </c>
      <c r="C95" s="16" t="inlineStr">
        <is>
          <t>RECEIPT</t>
        </is>
      </c>
      <c r="D95" s="16" t="n">
        <v>5</v>
      </c>
      <c r="E95" s="16" t="n"/>
      <c r="F95" s="16" t="n"/>
      <c r="G95" s="16" t="inlineStr">
        <is>
          <t>lab.store@jcb.com</t>
        </is>
      </c>
      <c r="H95" s="16" t="n"/>
    </row>
    <row r="96" ht="15" customHeight="1" s="13">
      <c r="A96" s="20" t="n">
        <v>45901</v>
      </c>
      <c r="B96" s="16" t="inlineStr">
        <is>
          <t>7219/0221</t>
        </is>
      </c>
      <c r="C96" s="16" t="inlineStr">
        <is>
          <t>RECEIPT</t>
        </is>
      </c>
      <c r="D96" s="16" t="n">
        <v>2</v>
      </c>
      <c r="E96" s="16" t="n"/>
      <c r="F96" s="16" t="n"/>
      <c r="G96" s="16" t="inlineStr">
        <is>
          <t>lab.store@jcb.com</t>
        </is>
      </c>
      <c r="H96" s="16" t="n"/>
    </row>
    <row r="97" ht="15" customHeight="1" s="13">
      <c r="A97" s="20" t="n">
        <v>45901</v>
      </c>
      <c r="B97" s="16" t="inlineStr">
        <is>
          <t>7216/0052</t>
        </is>
      </c>
      <c r="C97" s="16" t="inlineStr">
        <is>
          <t>RECEIPT</t>
        </is>
      </c>
      <c r="D97" s="16" t="n">
        <v>20</v>
      </c>
      <c r="E97" s="16" t="n"/>
      <c r="F97" s="16" t="n"/>
      <c r="G97" s="16" t="inlineStr">
        <is>
          <t>lab.store@jcb.com</t>
        </is>
      </c>
      <c r="H97" s="16" t="n"/>
    </row>
    <row r="98" ht="15" customHeight="1" s="13">
      <c r="A98" s="20" t="n">
        <v>45901</v>
      </c>
      <c r="B98" s="16" t="inlineStr">
        <is>
          <t>7201/0017</t>
        </is>
      </c>
      <c r="C98" s="16" t="inlineStr">
        <is>
          <t>RECEIPT</t>
        </is>
      </c>
      <c r="D98" s="16" t="n">
        <v>100</v>
      </c>
      <c r="E98" s="16" t="n"/>
      <c r="F98" s="16" t="n"/>
      <c r="G98" s="16" t="inlineStr">
        <is>
          <t>lab.store@jcb.com</t>
        </is>
      </c>
      <c r="H98" s="16" t="n"/>
    </row>
    <row r="99" ht="15" customHeight="1" s="13">
      <c r="A99" s="20" t="n">
        <v>45901</v>
      </c>
      <c r="B99" s="16" t="inlineStr">
        <is>
          <t>7212/0204</t>
        </is>
      </c>
      <c r="C99" s="16" t="inlineStr">
        <is>
          <t>RECEIPT</t>
        </is>
      </c>
      <c r="D99" s="16" t="n">
        <v>5</v>
      </c>
      <c r="E99" s="16" t="n"/>
      <c r="F99" s="16" t="n"/>
      <c r="G99" s="16" t="inlineStr">
        <is>
          <t>lab.store@jcb.com</t>
        </is>
      </c>
      <c r="H99" s="16" t="n"/>
    </row>
    <row r="100" ht="15" customHeight="1" s="13">
      <c r="A100" s="20" t="n">
        <v>45901</v>
      </c>
      <c r="B100" s="16" t="inlineStr">
        <is>
          <t>7219/0218</t>
        </is>
      </c>
      <c r="C100" s="16" t="inlineStr">
        <is>
          <t>RECEIPT</t>
        </is>
      </c>
      <c r="D100" s="16" t="n">
        <v>5</v>
      </c>
      <c r="E100" s="16" t="n"/>
      <c r="F100" s="16" t="n"/>
      <c r="G100" s="16" t="inlineStr">
        <is>
          <t>lab.store@jcb.com</t>
        </is>
      </c>
      <c r="H100" s="16" t="n"/>
    </row>
    <row r="101" ht="15" customHeight="1" s="13">
      <c r="A101" s="20" t="n">
        <v>45901</v>
      </c>
      <c r="B101" s="16" t="inlineStr">
        <is>
          <t>7216/0052</t>
        </is>
      </c>
      <c r="C101" s="16" t="inlineStr">
        <is>
          <t>RECEIPT</t>
        </is>
      </c>
      <c r="D101" s="16" t="n">
        <v>20</v>
      </c>
      <c r="E101" s="16" t="n"/>
      <c r="F101" s="16" t="n"/>
      <c r="G101" s="16" t="inlineStr">
        <is>
          <t>lab.store@jcb.com</t>
        </is>
      </c>
      <c r="H101" s="16" t="n"/>
    </row>
    <row r="102" ht="15" customHeight="1" s="13">
      <c r="A102" s="20" t="n">
        <v>45901</v>
      </c>
      <c r="B102" s="16" t="inlineStr">
        <is>
          <t>7201/0403</t>
        </is>
      </c>
      <c r="C102" s="16" t="inlineStr">
        <is>
          <t>RECEIPT</t>
        </is>
      </c>
      <c r="D102" s="16" t="n">
        <v>50</v>
      </c>
      <c r="E102" s="16" t="n"/>
      <c r="F102" s="16" t="n"/>
      <c r="G102" s="16" t="inlineStr">
        <is>
          <t>lab.store@jcb.com</t>
        </is>
      </c>
      <c r="H102" s="16" t="n"/>
    </row>
    <row r="103" ht="15" customHeight="1" s="13">
      <c r="A103" s="20" t="n">
        <v>45901</v>
      </c>
      <c r="B103" s="16" t="inlineStr">
        <is>
          <t>7219/0010</t>
        </is>
      </c>
      <c r="C103" s="16" t="inlineStr">
        <is>
          <t>RECEIPT</t>
        </is>
      </c>
      <c r="D103" s="16" t="n">
        <v>15</v>
      </c>
      <c r="E103" s="16" t="n"/>
      <c r="F103" s="16" t="n"/>
      <c r="G103" s="16" t="inlineStr">
        <is>
          <t>lab.store@jcb.com</t>
        </is>
      </c>
      <c r="H103" s="16" t="n"/>
    </row>
    <row r="104" ht="15" customHeight="1" s="13">
      <c r="A104" s="20" t="n">
        <v>45901</v>
      </c>
      <c r="B104" s="16" t="inlineStr">
        <is>
          <t>7219/0024</t>
        </is>
      </c>
      <c r="C104" s="16" t="inlineStr">
        <is>
          <t>RECEIPT</t>
        </is>
      </c>
      <c r="D104" s="16" t="n">
        <v>20</v>
      </c>
      <c r="E104" s="16" t="n"/>
      <c r="F104" s="16" t="n"/>
      <c r="G104" s="16" t="inlineStr">
        <is>
          <t>lab.store@jcb.com</t>
        </is>
      </c>
      <c r="H104" s="16" t="n"/>
    </row>
    <row r="105" ht="15" customHeight="1" s="13">
      <c r="A105" s="20" t="n">
        <v>45901</v>
      </c>
      <c r="B105" s="16" t="inlineStr">
        <is>
          <t>7201/0152</t>
        </is>
      </c>
      <c r="C105" s="16" t="inlineStr">
        <is>
          <t>RECEIPT</t>
        </is>
      </c>
      <c r="D105" s="16" t="n">
        <v>100</v>
      </c>
      <c r="E105" s="16" t="n"/>
      <c r="F105" s="16" t="n"/>
      <c r="G105" s="16" t="inlineStr">
        <is>
          <t>lab.store@jcb.com</t>
        </is>
      </c>
      <c r="H105" s="16" t="n"/>
    </row>
    <row r="106" ht="15" customHeight="1" s="13">
      <c r="A106" s="20" t="n">
        <v>45901</v>
      </c>
      <c r="B106" s="16" t="inlineStr">
        <is>
          <t>7201/0069</t>
        </is>
      </c>
      <c r="C106" s="16" t="inlineStr">
        <is>
          <t>RECEIPT</t>
        </is>
      </c>
      <c r="D106" s="16" t="n">
        <v>70</v>
      </c>
      <c r="E106" s="16" t="n"/>
      <c r="F106" s="16" t="n"/>
      <c r="G106" s="16" t="inlineStr">
        <is>
          <t>lab.store@jcb.com</t>
        </is>
      </c>
      <c r="H106" s="16" t="n"/>
    </row>
    <row r="107" ht="15" customHeight="1" s="13">
      <c r="A107" s="20" t="n">
        <v>45901</v>
      </c>
      <c r="B107" s="16" t="inlineStr">
        <is>
          <t>7201/0093</t>
        </is>
      </c>
      <c r="C107" s="16" t="inlineStr">
        <is>
          <t>RECEIPT</t>
        </is>
      </c>
      <c r="D107" s="16" t="n">
        <v>100</v>
      </c>
      <c r="E107" s="16" t="n"/>
      <c r="F107" s="16" t="n"/>
      <c r="G107" s="16" t="inlineStr">
        <is>
          <t>lab.store@jcb.com</t>
        </is>
      </c>
      <c r="H107" s="16" t="n"/>
    </row>
    <row r="108" ht="15" customHeight="1" s="13">
      <c r="A108" s="20" t="n">
        <v>45901</v>
      </c>
      <c r="B108" s="16" t="inlineStr">
        <is>
          <t>7201/0095</t>
        </is>
      </c>
      <c r="C108" s="16" t="inlineStr">
        <is>
          <t>RECEIPT</t>
        </is>
      </c>
      <c r="D108" s="16" t="n">
        <v>100</v>
      </c>
      <c r="E108" s="16" t="n"/>
      <c r="F108" s="16" t="n"/>
      <c r="G108" s="16" t="inlineStr">
        <is>
          <t>lab.store@jcb.com</t>
        </is>
      </c>
      <c r="H108" s="16" t="n"/>
    </row>
    <row r="109" ht="15" customHeight="1" s="13">
      <c r="A109" s="20" t="n">
        <v>45901</v>
      </c>
      <c r="B109" s="16" t="inlineStr">
        <is>
          <t>7201/0127</t>
        </is>
      </c>
      <c r="C109" s="16" t="inlineStr">
        <is>
          <t>RECEIPT</t>
        </is>
      </c>
      <c r="D109" s="16" t="n">
        <v>70</v>
      </c>
      <c r="E109" s="16" t="n"/>
      <c r="F109" s="16" t="n"/>
      <c r="G109" s="16" t="inlineStr">
        <is>
          <t>lab.store@jcb.com</t>
        </is>
      </c>
      <c r="H109" s="16" t="n"/>
    </row>
    <row r="110" ht="15" customHeight="1" s="13">
      <c r="A110" s="20" t="n">
        <v>45901</v>
      </c>
      <c r="B110" s="16" t="inlineStr">
        <is>
          <t>7213/0098</t>
        </is>
      </c>
      <c r="C110" s="16" t="inlineStr">
        <is>
          <t>RECEIPT</t>
        </is>
      </c>
      <c r="D110" s="16" t="n">
        <v>5</v>
      </c>
      <c r="E110" s="16" t="n"/>
      <c r="F110" s="16" t="n"/>
      <c r="G110" s="16" t="inlineStr">
        <is>
          <t>lab.store@jcb.com</t>
        </is>
      </c>
      <c r="H110" s="16" t="n"/>
    </row>
    <row r="111" ht="15" customHeight="1" s="13">
      <c r="A111" s="20" t="n">
        <v>45901</v>
      </c>
      <c r="B111" s="16" t="inlineStr">
        <is>
          <t>7201/0022</t>
        </is>
      </c>
      <c r="C111" s="16" t="inlineStr">
        <is>
          <t>RECEIPT</t>
        </is>
      </c>
      <c r="D111" s="16" t="n">
        <v>100</v>
      </c>
      <c r="E111" s="16" t="n"/>
      <c r="F111" s="16" t="n"/>
      <c r="G111" s="16" t="inlineStr">
        <is>
          <t>lab.store@jcb.com</t>
        </is>
      </c>
      <c r="H111" s="16" t="n"/>
    </row>
    <row r="112" ht="15" customHeight="1" s="13">
      <c r="A112" s="20" t="n">
        <v>45901</v>
      </c>
      <c r="B112" s="16" t="inlineStr">
        <is>
          <t>7219/0196</t>
        </is>
      </c>
      <c r="C112" s="16" t="inlineStr">
        <is>
          <t>RECEIPT</t>
        </is>
      </c>
      <c r="D112" s="16" t="n">
        <v>10</v>
      </c>
      <c r="E112" s="16" t="n"/>
      <c r="F112" s="16" t="n"/>
      <c r="G112" s="16" t="inlineStr">
        <is>
          <t>lab.store@jcb.com</t>
        </is>
      </c>
      <c r="H112" s="16" t="n"/>
    </row>
    <row r="113" ht="15" customHeight="1" s="13">
      <c r="A113" s="20" t="n">
        <v>45901</v>
      </c>
      <c r="B113" s="16" t="inlineStr">
        <is>
          <t>7219/0012</t>
        </is>
      </c>
      <c r="C113" s="16" t="inlineStr">
        <is>
          <t>RECEIPT</t>
        </is>
      </c>
      <c r="D113" s="16" t="n">
        <v>23</v>
      </c>
      <c r="E113" s="16" t="n"/>
      <c r="F113" s="16" t="n"/>
      <c r="G113" s="16" t="inlineStr">
        <is>
          <t>lab.store@jcb.com</t>
        </is>
      </c>
      <c r="H113" s="16" t="n"/>
    </row>
    <row r="114" ht="15" customHeight="1" s="13">
      <c r="A114" s="20" t="n">
        <v>45901</v>
      </c>
      <c r="B114" s="16" t="inlineStr">
        <is>
          <t>1670144-2</t>
        </is>
      </c>
      <c r="C114" s="16" t="inlineStr">
        <is>
          <t>RECEIPT</t>
        </is>
      </c>
      <c r="D114" s="16" t="n">
        <v>100</v>
      </c>
      <c r="E114" s="16" t="n"/>
      <c r="F114" s="16" t="n"/>
      <c r="G114" s="16" t="inlineStr">
        <is>
          <t>lab.store@jcb.com</t>
        </is>
      </c>
      <c r="H114" s="16" t="n"/>
    </row>
    <row r="115" ht="15" customHeight="1" s="13">
      <c r="A115" s="20" t="n">
        <v>45901</v>
      </c>
      <c r="B115" s="16" t="inlineStr">
        <is>
          <t>7212/0002</t>
        </is>
      </c>
      <c r="C115" s="16" t="inlineStr">
        <is>
          <t>RECEIPT</t>
        </is>
      </c>
      <c r="D115" s="16" t="n">
        <v>20</v>
      </c>
      <c r="E115" s="16" t="n"/>
      <c r="F115" s="16" t="n"/>
      <c r="G115" s="16" t="inlineStr">
        <is>
          <t>lab.store@jcb.com</t>
        </is>
      </c>
      <c r="H115" s="16" t="n"/>
    </row>
    <row r="116" ht="15" customHeight="1" s="13">
      <c r="A116" s="20" t="n">
        <v>45901</v>
      </c>
      <c r="B116" s="16" t="inlineStr">
        <is>
          <t>701/45501</t>
        </is>
      </c>
      <c r="C116" s="16" t="inlineStr">
        <is>
          <t>RECEIPT</t>
        </is>
      </c>
      <c r="D116" s="16" t="n">
        <v>1</v>
      </c>
      <c r="E116" s="16" t="n"/>
      <c r="F116" s="16" t="n"/>
      <c r="G116" s="16" t="inlineStr">
        <is>
          <t>lab.store@jcb.com</t>
        </is>
      </c>
      <c r="H116" s="16" t="n"/>
    </row>
    <row r="117" ht="15" customHeight="1" s="13">
      <c r="A117" s="20" t="n">
        <v>45901</v>
      </c>
      <c r="B117" s="16" t="inlineStr">
        <is>
          <t>696/01480</t>
        </is>
      </c>
      <c r="C117" s="16" t="inlineStr">
        <is>
          <t>RECEIPT</t>
        </is>
      </c>
      <c r="D117" s="16" t="n">
        <v>12</v>
      </c>
      <c r="E117" s="16" t="n"/>
      <c r="F117" s="16" t="n"/>
      <c r="G117" s="16" t="inlineStr">
        <is>
          <t>lab.store@jcb.com</t>
        </is>
      </c>
      <c r="H117" s="16" t="n"/>
    </row>
    <row r="118" ht="15" customHeight="1" s="13">
      <c r="A118" s="20" t="n">
        <v>45901</v>
      </c>
      <c r="B118" s="16" t="inlineStr">
        <is>
          <t>701/L4886</t>
        </is>
      </c>
      <c r="C118" s="16" t="inlineStr">
        <is>
          <t>RECEIPT</t>
        </is>
      </c>
      <c r="D118" s="16" t="n">
        <v>2</v>
      </c>
      <c r="E118" s="16" t="n"/>
      <c r="F118" s="16" t="n"/>
      <c r="G118" s="16" t="inlineStr">
        <is>
          <t>lab.store@jcb.com</t>
        </is>
      </c>
      <c r="H118" s="16" t="n"/>
    </row>
    <row r="119" ht="15" customHeight="1" s="13">
      <c r="A119" s="20" t="n">
        <v>45901</v>
      </c>
      <c r="B119" s="16" t="inlineStr">
        <is>
          <t>701/E0033</t>
        </is>
      </c>
      <c r="C119" s="16" t="inlineStr">
        <is>
          <t>RECEIPT</t>
        </is>
      </c>
      <c r="D119" s="16" t="n">
        <v>2</v>
      </c>
      <c r="E119" s="16" t="n"/>
      <c r="F119" s="16" t="n"/>
      <c r="G119" s="16" t="inlineStr">
        <is>
          <t>lab.store@jcb.com</t>
        </is>
      </c>
      <c r="H119" s="16" t="n"/>
    </row>
    <row r="120" ht="15" customHeight="1" s="13">
      <c r="A120" s="20" t="n">
        <v>45901</v>
      </c>
      <c r="B120" s="16" t="inlineStr">
        <is>
          <t>701/L4887</t>
        </is>
      </c>
      <c r="C120" s="16" t="inlineStr">
        <is>
          <t>RECEIPT</t>
        </is>
      </c>
      <c r="D120" s="16" t="n">
        <v>4</v>
      </c>
      <c r="E120" s="16" t="n"/>
      <c r="F120" s="16" t="n"/>
      <c r="G120" s="16" t="inlineStr">
        <is>
          <t>lab.store@jcb.com</t>
        </is>
      </c>
      <c r="H120" s="16" t="n"/>
    </row>
    <row r="121" ht="15" customHeight="1" s="13">
      <c r="A121" s="20" t="n">
        <v>45901</v>
      </c>
      <c r="B121" s="16" t="inlineStr">
        <is>
          <t>400/T4274</t>
        </is>
      </c>
      <c r="C121" s="16" t="inlineStr">
        <is>
          <t>RECEIPT</t>
        </is>
      </c>
      <c r="D121" s="16" t="n">
        <v>2</v>
      </c>
      <c r="E121" s="16" t="n"/>
      <c r="F121" s="16" t="n"/>
      <c r="G121" s="16" t="inlineStr">
        <is>
          <t>lab.store@jcb.com</t>
        </is>
      </c>
      <c r="H121" s="16" t="n"/>
    </row>
    <row r="122" ht="15" customHeight="1" s="13">
      <c r="A122" s="20" t="n">
        <v>45901</v>
      </c>
      <c r="B122" s="16" t="inlineStr">
        <is>
          <t>7212/0051</t>
        </is>
      </c>
      <c r="C122" s="16" t="inlineStr">
        <is>
          <t>RECEIPT</t>
        </is>
      </c>
      <c r="D122" s="16" t="n">
        <v>40</v>
      </c>
      <c r="E122" s="16" t="n"/>
      <c r="F122" s="16" t="n"/>
      <c r="G122" s="16" t="inlineStr">
        <is>
          <t>lab.store@jcb.com</t>
        </is>
      </c>
      <c r="H122" s="16" t="n"/>
    </row>
    <row r="123" ht="15" customHeight="1" s="13">
      <c r="A123" s="20" t="n">
        <v>45901</v>
      </c>
      <c r="B123" s="16" t="inlineStr">
        <is>
          <t>701/80265</t>
        </is>
      </c>
      <c r="C123" s="16" t="inlineStr">
        <is>
          <t>RECEIPT</t>
        </is>
      </c>
      <c r="D123" s="16" t="n">
        <v>6</v>
      </c>
      <c r="E123" s="16" t="n"/>
      <c r="F123" s="16" t="n"/>
      <c r="G123" s="16" t="inlineStr">
        <is>
          <t>lab.store@jcb.com</t>
        </is>
      </c>
      <c r="H123" s="16" t="n"/>
    </row>
    <row r="124" ht="15" customHeight="1" s="13">
      <c r="A124" s="20" t="n">
        <v>45901</v>
      </c>
      <c r="B124" s="16" t="inlineStr">
        <is>
          <t>7213/0080</t>
        </is>
      </c>
      <c r="C124" s="16" t="inlineStr">
        <is>
          <t>RECEIPT</t>
        </is>
      </c>
      <c r="D124" s="16" t="n">
        <v>5</v>
      </c>
      <c r="E124" s="16" t="inlineStr">
        <is>
          <t>FOC_TE_16</t>
        </is>
      </c>
      <c r="F124" s="16" t="n"/>
      <c r="G124" s="16" t="inlineStr">
        <is>
          <t>lab.store@jcb.com</t>
        </is>
      </c>
      <c r="H124" s="16" t="n"/>
    </row>
    <row r="125" ht="15" customHeight="1" s="13">
      <c r="A125" s="20" t="n">
        <v>45901</v>
      </c>
      <c r="B125" s="16" t="inlineStr">
        <is>
          <t>401/K4978</t>
        </is>
      </c>
      <c r="C125" s="16" t="inlineStr">
        <is>
          <t>RECEIPT</t>
        </is>
      </c>
      <c r="D125" s="16" t="n">
        <v>5</v>
      </c>
      <c r="E125" s="16" t="inlineStr">
        <is>
          <t>FOC_TE_19</t>
        </is>
      </c>
      <c r="F125" s="16" t="n"/>
      <c r="G125" s="16" t="inlineStr">
        <is>
          <t>lab.store@jcb.com</t>
        </is>
      </c>
      <c r="H125" s="16" t="n"/>
    </row>
    <row r="126" ht="15" customHeight="1" s="13">
      <c r="A126" s="20" t="n">
        <v>45901</v>
      </c>
      <c r="B126" s="16" t="inlineStr">
        <is>
          <t>7201/0120</t>
        </is>
      </c>
      <c r="C126" s="16" t="inlineStr">
        <is>
          <t>RECEIPT</t>
        </is>
      </c>
      <c r="D126" s="16" t="n">
        <v>100</v>
      </c>
      <c r="E126" s="16" t="inlineStr">
        <is>
          <t>FOC_TE_19</t>
        </is>
      </c>
      <c r="F126" s="16" t="n"/>
      <c r="G126" s="16" t="inlineStr">
        <is>
          <t>lab.store@jcb.com</t>
        </is>
      </c>
      <c r="H126" s="16" t="n"/>
    </row>
    <row r="127" ht="15" customHeight="1" s="13">
      <c r="A127" s="20" t="n">
        <v>45901</v>
      </c>
      <c r="B127" s="16" t="inlineStr">
        <is>
          <t>7204/0036</t>
        </is>
      </c>
      <c r="C127" s="16" t="inlineStr">
        <is>
          <t>RECEIPT</t>
        </is>
      </c>
      <c r="D127" s="16" t="n">
        <v>100</v>
      </c>
      <c r="E127" s="16" t="inlineStr">
        <is>
          <t>FOC_TE_19</t>
        </is>
      </c>
      <c r="F127" s="16" t="n"/>
      <c r="G127" s="16" t="inlineStr">
        <is>
          <t>lab.store@jcb.com</t>
        </is>
      </c>
      <c r="H127" s="16" t="n"/>
    </row>
    <row r="128" ht="15" customHeight="1" s="13">
      <c r="A128" s="20" t="n">
        <v>45901</v>
      </c>
      <c r="B128" s="16" t="inlineStr">
        <is>
          <t>7214/0029</t>
        </is>
      </c>
      <c r="C128" s="16" t="inlineStr">
        <is>
          <t>RECEIPT</t>
        </is>
      </c>
      <c r="D128" s="16" t="n">
        <v>10</v>
      </c>
      <c r="E128" s="16" t="inlineStr">
        <is>
          <t>FOC_TE_19</t>
        </is>
      </c>
      <c r="F128" s="16" t="n"/>
      <c r="G128" s="16" t="inlineStr">
        <is>
          <t>lab.store@jcb.com</t>
        </is>
      </c>
      <c r="H128" s="16" t="n"/>
    </row>
    <row r="129" ht="15" customHeight="1" s="13">
      <c r="A129" s="20" t="n">
        <v>45901</v>
      </c>
      <c r="B129" s="16" t="inlineStr">
        <is>
          <t>7204/0037</t>
        </is>
      </c>
      <c r="C129" s="16" t="inlineStr">
        <is>
          <t>RECEIPT</t>
        </is>
      </c>
      <c r="D129" s="16" t="n">
        <v>100</v>
      </c>
      <c r="E129" s="16" t="inlineStr">
        <is>
          <t>FOC_TE_19</t>
        </is>
      </c>
      <c r="F129" s="16" t="n"/>
      <c r="G129" s="16" t="inlineStr">
        <is>
          <t>lab.store@jcb.com</t>
        </is>
      </c>
      <c r="H129" s="16" t="n"/>
    </row>
    <row r="130" ht="15" customHeight="1" s="13">
      <c r="A130" s="20" t="n">
        <v>45901</v>
      </c>
      <c r="B130" s="16" t="inlineStr">
        <is>
          <t>7204/0027</t>
        </is>
      </c>
      <c r="C130" s="16" t="inlineStr">
        <is>
          <t>RECEIPT</t>
        </is>
      </c>
      <c r="D130" s="16" t="n">
        <v>200</v>
      </c>
      <c r="E130" s="16" t="inlineStr">
        <is>
          <t>FOC_TE_19</t>
        </is>
      </c>
      <c r="F130" s="16" t="n"/>
      <c r="G130" s="16" t="inlineStr">
        <is>
          <t>lab.store@jcb.com</t>
        </is>
      </c>
      <c r="H130" s="16" t="n"/>
    </row>
    <row r="131" ht="15" customHeight="1" s="13">
      <c r="A131" s="20" t="n">
        <v>45901</v>
      </c>
      <c r="B131" s="16" t="inlineStr">
        <is>
          <t>7204/0025</t>
        </is>
      </c>
      <c r="C131" s="16" t="inlineStr">
        <is>
          <t>RECEIPT</t>
        </is>
      </c>
      <c r="D131" s="16" t="n">
        <v>70</v>
      </c>
      <c r="E131" s="16" t="inlineStr">
        <is>
          <t>FOC_TE_19</t>
        </is>
      </c>
      <c r="F131" s="16" t="n"/>
      <c r="G131" s="16" t="inlineStr">
        <is>
          <t>lab.store@jcb.com</t>
        </is>
      </c>
      <c r="H131" s="16" t="n"/>
    </row>
    <row r="132" ht="15" customHeight="1" s="13">
      <c r="A132" s="20" t="n">
        <v>45901</v>
      </c>
      <c r="B132" s="16" t="inlineStr">
        <is>
          <t>7201/1133</t>
        </is>
      </c>
      <c r="C132" s="16" t="inlineStr">
        <is>
          <t>RECEIPT</t>
        </is>
      </c>
      <c r="D132" s="16" t="n">
        <v>100</v>
      </c>
      <c r="E132" s="16" t="inlineStr">
        <is>
          <t>old parts</t>
        </is>
      </c>
      <c r="F132" s="16" t="n"/>
      <c r="G132" s="16" t="inlineStr">
        <is>
          <t>lab.store@jcb.com</t>
        </is>
      </c>
      <c r="H132" s="16" t="n"/>
    </row>
    <row r="133" ht="15" customHeight="1" s="13">
      <c r="A133" s="20" t="n">
        <v>45901</v>
      </c>
      <c r="B133" s="16" t="inlineStr">
        <is>
          <t>7204/0258</t>
        </is>
      </c>
      <c r="C133" s="16" t="inlineStr">
        <is>
          <t>RECEIPT</t>
        </is>
      </c>
      <c r="D133" s="16" t="n">
        <v>100</v>
      </c>
      <c r="E133" s="16" t="inlineStr">
        <is>
          <t>old parts</t>
        </is>
      </c>
      <c r="F133" s="16" t="n"/>
      <c r="G133" s="16" t="inlineStr">
        <is>
          <t>lab.store@jcb.com</t>
        </is>
      </c>
      <c r="H133" s="16" t="n"/>
    </row>
    <row r="134" ht="15" customHeight="1" s="13">
      <c r="A134" s="20" t="n">
        <v>45901</v>
      </c>
      <c r="B134" s="16" t="inlineStr">
        <is>
          <t>7210/0264</t>
        </is>
      </c>
      <c r="C134" s="16" t="inlineStr">
        <is>
          <t>RECEIPT</t>
        </is>
      </c>
      <c r="D134" s="16" t="n">
        <v>10</v>
      </c>
      <c r="E134" s="16" t="inlineStr">
        <is>
          <t>old parts</t>
        </is>
      </c>
      <c r="F134" s="16" t="n"/>
      <c r="G134" s="16" t="inlineStr">
        <is>
          <t>lab.store@jcb.com</t>
        </is>
      </c>
      <c r="H134" s="16" t="n"/>
    </row>
    <row r="135" ht="15" customHeight="1" s="13">
      <c r="A135" s="20" t="n">
        <v>45901</v>
      </c>
      <c r="B135" s="16" t="inlineStr">
        <is>
          <t>7204/0113</t>
        </is>
      </c>
      <c r="C135" s="16" t="inlineStr">
        <is>
          <t>RECEIPT</t>
        </is>
      </c>
      <c r="D135" s="16" t="n">
        <v>100</v>
      </c>
      <c r="E135" s="16" t="inlineStr">
        <is>
          <t>old parts</t>
        </is>
      </c>
      <c r="F135" s="16" t="n"/>
      <c r="G135" s="16" t="inlineStr">
        <is>
          <t>lab.store@jcb.com</t>
        </is>
      </c>
      <c r="H135" s="16" t="n"/>
    </row>
    <row r="136" ht="15" customHeight="1" s="13">
      <c r="A136" s="20" t="n">
        <v>45901</v>
      </c>
      <c r="B136" s="16" t="inlineStr">
        <is>
          <t>7201/0843</t>
        </is>
      </c>
      <c r="C136" s="16" t="inlineStr">
        <is>
          <t>RECEIPT</t>
        </is>
      </c>
      <c r="D136" s="16" t="n">
        <v>100</v>
      </c>
      <c r="E136" s="16" t="inlineStr">
        <is>
          <t>old parts</t>
        </is>
      </c>
      <c r="F136" s="16" t="n"/>
      <c r="G136" s="16" t="inlineStr">
        <is>
          <t>lab.store@jcb.com</t>
        </is>
      </c>
      <c r="H136" s="16" t="n"/>
    </row>
    <row r="137" ht="15" customHeight="1" s="13">
      <c r="A137" s="20" t="n">
        <v>45901</v>
      </c>
      <c r="B137" s="16" t="inlineStr">
        <is>
          <t>7210/0017</t>
        </is>
      </c>
      <c r="C137" s="16" t="inlineStr">
        <is>
          <t>RECEIPT</t>
        </is>
      </c>
      <c r="D137" s="16" t="n">
        <v>10</v>
      </c>
      <c r="E137" s="16" t="inlineStr">
        <is>
          <t>old parts</t>
        </is>
      </c>
      <c r="F137" s="16" t="n"/>
      <c r="G137" s="16" t="inlineStr">
        <is>
          <t>lab.store@jcb.com</t>
        </is>
      </c>
      <c r="H137" s="16" t="n"/>
    </row>
    <row r="138" ht="15" customHeight="1" s="13">
      <c r="A138" s="20" t="n">
        <v>45901</v>
      </c>
      <c r="B138" s="16" t="inlineStr">
        <is>
          <t>7213/0024</t>
        </is>
      </c>
      <c r="C138" s="16" t="inlineStr">
        <is>
          <t>RECEIPT</t>
        </is>
      </c>
      <c r="D138" s="16" t="n">
        <v>5</v>
      </c>
      <c r="E138" s="16" t="inlineStr">
        <is>
          <t>FOC_TE_20</t>
        </is>
      </c>
      <c r="F138" s="16" t="n"/>
      <c r="G138" s="16" t="inlineStr">
        <is>
          <t>lab.store@jcb.com</t>
        </is>
      </c>
      <c r="H138" s="16" t="n"/>
    </row>
    <row r="139" ht="15" customHeight="1" s="13">
      <c r="A139" s="20" t="n">
        <v>45901</v>
      </c>
      <c r="B139" s="16" t="inlineStr">
        <is>
          <t>401/K4978</t>
        </is>
      </c>
      <c r="C139" s="16" t="inlineStr">
        <is>
          <t>RECEIPT</t>
        </is>
      </c>
      <c r="D139" s="16" t="n">
        <v>5</v>
      </c>
      <c r="E139" s="16" t="inlineStr">
        <is>
          <t>FOC_TE_19</t>
        </is>
      </c>
      <c r="F139" s="16" t="n"/>
      <c r="G139" s="16" t="inlineStr">
        <is>
          <t>lab.store@jcb.com</t>
        </is>
      </c>
      <c r="H139" s="16" t="n"/>
    </row>
    <row r="140" ht="15" customHeight="1" s="13">
      <c r="A140" s="20" t="n">
        <v>45901</v>
      </c>
      <c r="B140" s="16" t="inlineStr">
        <is>
          <t>7213/0024</t>
        </is>
      </c>
      <c r="C140" s="16" t="inlineStr">
        <is>
          <t>RECEIPT</t>
        </is>
      </c>
      <c r="D140" s="16" t="n">
        <v>10</v>
      </c>
      <c r="E140" s="16" t="inlineStr">
        <is>
          <t>FOC_TE_20</t>
        </is>
      </c>
      <c r="F140" s="16" t="n"/>
      <c r="G140" s="16" t="inlineStr">
        <is>
          <t>lab.store@jcb.com</t>
        </is>
      </c>
      <c r="H140" s="16" t="n"/>
    </row>
    <row r="141" ht="15" customHeight="1" s="13">
      <c r="A141" s="20" t="n">
        <v>45901</v>
      </c>
      <c r="B141" s="16" t="inlineStr">
        <is>
          <t>7219/0010</t>
        </is>
      </c>
      <c r="C141" s="16" t="inlineStr">
        <is>
          <t>RECEIPT</t>
        </is>
      </c>
      <c r="D141" s="16" t="n">
        <v>10</v>
      </c>
      <c r="E141" s="16" t="inlineStr">
        <is>
          <t>FOC_TE_20</t>
        </is>
      </c>
      <c r="F141" s="16" t="n"/>
      <c r="G141" s="16" t="inlineStr">
        <is>
          <t>lab.store@jcb.com</t>
        </is>
      </c>
      <c r="H141" s="16" t="n"/>
    </row>
    <row r="142" ht="15" customHeight="1" s="13">
      <c r="A142" s="20" t="n">
        <v>45901</v>
      </c>
      <c r="B142" s="16" t="inlineStr">
        <is>
          <t>400/E3562</t>
        </is>
      </c>
      <c r="C142" s="16" t="inlineStr">
        <is>
          <t>RECEIPT</t>
        </is>
      </c>
      <c r="D142" s="16" t="n">
        <v>5</v>
      </c>
      <c r="E142" s="16" t="inlineStr">
        <is>
          <t>281010497</t>
        </is>
      </c>
      <c r="F142" s="16" t="n"/>
      <c r="G142" s="16" t="inlineStr">
        <is>
          <t>lab.store@jcb.com</t>
        </is>
      </c>
      <c r="H142" s="16" t="n"/>
    </row>
    <row r="143" ht="15" customHeight="1" s="13">
      <c r="A143" s="20" t="n">
        <v>45901</v>
      </c>
      <c r="B143" s="16" t="inlineStr">
        <is>
          <t>717/07023</t>
        </is>
      </c>
      <c r="C143" s="16" t="inlineStr">
        <is>
          <t>RECEIPT</t>
        </is>
      </c>
      <c r="D143" s="16" t="n">
        <v>1</v>
      </c>
      <c r="E143" s="16" t="inlineStr">
        <is>
          <t>281010497</t>
        </is>
      </c>
      <c r="F143" s="16" t="n"/>
      <c r="G143" s="16" t="inlineStr">
        <is>
          <t>lab.store@jcb.com</t>
        </is>
      </c>
      <c r="H143" s="16" t="n"/>
    </row>
    <row r="144" ht="15" customHeight="1" s="13">
      <c r="A144" s="20" t="n">
        <v>45901</v>
      </c>
      <c r="B144" s="16" t="inlineStr">
        <is>
          <t>MC000SDDFAQGT001</t>
        </is>
      </c>
      <c r="C144" s="16" t="inlineStr">
        <is>
          <t>RECEIPT</t>
        </is>
      </c>
      <c r="D144" s="16" t="n">
        <v>1500</v>
      </c>
      <c r="E144" s="16" t="inlineStr">
        <is>
          <t>9700010241</t>
        </is>
      </c>
      <c r="F144" s="16" t="n"/>
      <c r="G144" s="16" t="inlineStr">
        <is>
          <t>lab.store@jcb.com</t>
        </is>
      </c>
      <c r="H144" s="16" t="n"/>
    </row>
    <row r="145" ht="15" customHeight="1" s="13">
      <c r="A145" s="20" t="n">
        <v>45901</v>
      </c>
      <c r="B145" s="16" t="inlineStr">
        <is>
          <t>MC000SDFDTGGT001</t>
        </is>
      </c>
      <c r="C145" s="16" t="inlineStr">
        <is>
          <t>RECEIPT</t>
        </is>
      </c>
      <c r="D145" s="16" t="n">
        <v>1500</v>
      </c>
      <c r="E145" s="16" t="inlineStr">
        <is>
          <t>9700010241</t>
        </is>
      </c>
      <c r="F145" s="16" t="n"/>
      <c r="G145" s="16" t="inlineStr">
        <is>
          <t>lab.store@jcb.com</t>
        </is>
      </c>
      <c r="H145" s="16" t="n"/>
    </row>
    <row r="146" ht="15" customHeight="1" s="13">
      <c r="A146" s="20" t="n">
        <v>45901</v>
      </c>
      <c r="B146" s="16" t="inlineStr">
        <is>
          <t>MC000SDGHFRGT001</t>
        </is>
      </c>
      <c r="C146" s="16" t="inlineStr">
        <is>
          <t>RECEIPT</t>
        </is>
      </c>
      <c r="D146" s="16" t="n">
        <v>1000</v>
      </c>
      <c r="E146" s="16" t="inlineStr">
        <is>
          <t>9700010241</t>
        </is>
      </c>
      <c r="F146" s="16" t="n"/>
      <c r="G146" s="16" t="inlineStr">
        <is>
          <t>lab.store@jcb.com</t>
        </is>
      </c>
      <c r="H146" s="16" t="n"/>
    </row>
    <row r="147" ht="15" customHeight="1" s="13">
      <c r="A147" s="20" t="n">
        <v>45901</v>
      </c>
      <c r="B147" s="16" t="inlineStr">
        <is>
          <t>MC000SDJHEDGT002</t>
        </is>
      </c>
      <c r="C147" s="16" t="inlineStr">
        <is>
          <t>RECEIPT</t>
        </is>
      </c>
      <c r="D147" s="16" t="n">
        <v>45</v>
      </c>
      <c r="E147" s="16" t="inlineStr">
        <is>
          <t>9700010241</t>
        </is>
      </c>
      <c r="F147" s="16" t="n"/>
      <c r="G147" s="16" t="inlineStr">
        <is>
          <t>lab.store@jcb.com</t>
        </is>
      </c>
      <c r="H147" s="16" t="n"/>
    </row>
    <row r="148" ht="15" customHeight="1" s="13">
      <c r="A148" s="20" t="n">
        <v>45901</v>
      </c>
      <c r="B148" s="16" t="inlineStr">
        <is>
          <t>MC000SDOLAQGT002</t>
        </is>
      </c>
      <c r="C148" s="16" t="inlineStr">
        <is>
          <t>RECEIPT</t>
        </is>
      </c>
      <c r="D148" s="16" t="n">
        <v>200</v>
      </c>
      <c r="E148" s="16" t="inlineStr">
        <is>
          <t>9700010241</t>
        </is>
      </c>
      <c r="F148" s="16" t="n"/>
      <c r="G148" s="16" t="inlineStr">
        <is>
          <t>lab.store@jcb.com</t>
        </is>
      </c>
      <c r="H148" s="16" t="n"/>
    </row>
    <row r="149" ht="15" customHeight="1" s="13">
      <c r="A149" s="20" t="n">
        <v>45901</v>
      </c>
      <c r="B149" s="16" t="inlineStr">
        <is>
          <t>7212/0052</t>
        </is>
      </c>
      <c r="C149" s="16" t="inlineStr">
        <is>
          <t>RECEIPT</t>
        </is>
      </c>
      <c r="D149" s="16" t="n">
        <v>20</v>
      </c>
      <c r="E149" s="16" t="inlineStr">
        <is>
          <t>FOC_TE_21</t>
        </is>
      </c>
      <c r="F149" s="16" t="n"/>
      <c r="G149" s="16" t="inlineStr">
        <is>
          <t>lab.store@jcb.com</t>
        </is>
      </c>
      <c r="H149" s="16" t="n"/>
    </row>
    <row r="150" ht="15" customHeight="1" s="13">
      <c r="A150" s="20" t="n">
        <v>45901</v>
      </c>
      <c r="B150" s="16" t="inlineStr">
        <is>
          <t>7219/0310</t>
        </is>
      </c>
      <c r="C150" s="16" t="inlineStr">
        <is>
          <t>RECEIPT</t>
        </is>
      </c>
      <c r="D150" s="16" t="n">
        <v>10</v>
      </c>
      <c r="E150" s="16" t="inlineStr">
        <is>
          <t>FOC_TE_21</t>
        </is>
      </c>
      <c r="F150" s="16" t="n"/>
      <c r="G150" s="16" t="inlineStr">
        <is>
          <t>lab.store@jcb.com</t>
        </is>
      </c>
      <c r="H150" s="16" t="n"/>
    </row>
    <row r="151" ht="15" customHeight="1" s="13">
      <c r="A151" s="20" t="n">
        <v>45901</v>
      </c>
      <c r="B151" s="16" t="inlineStr">
        <is>
          <t>7204/0027</t>
        </is>
      </c>
      <c r="C151" s="16" t="inlineStr">
        <is>
          <t>RECEIPT</t>
        </is>
      </c>
      <c r="D151" s="16" t="n">
        <v>100</v>
      </c>
      <c r="E151" s="16" t="inlineStr">
        <is>
          <t>FOC_TE_21</t>
        </is>
      </c>
      <c r="F151" s="16" t="n"/>
      <c r="G151" s="16" t="inlineStr">
        <is>
          <t>lab.store@jcb.com</t>
        </is>
      </c>
      <c r="H151" s="16" t="n"/>
    </row>
    <row r="152" ht="15" customHeight="1" s="13">
      <c r="A152" s="20" t="n">
        <v>45901</v>
      </c>
      <c r="B152" s="16" t="inlineStr">
        <is>
          <t>7204/0036</t>
        </is>
      </c>
      <c r="C152" s="16" t="inlineStr">
        <is>
          <t>RECEIPT</t>
        </is>
      </c>
      <c r="D152" s="16" t="n">
        <v>50</v>
      </c>
      <c r="E152" s="16" t="inlineStr">
        <is>
          <t>FOC_TE_21</t>
        </is>
      </c>
      <c r="F152" s="16" t="n"/>
      <c r="G152" s="16" t="inlineStr">
        <is>
          <t>lab.store@jcb.com</t>
        </is>
      </c>
      <c r="H152" s="16" t="n"/>
    </row>
    <row r="153" ht="15" customHeight="1" s="13">
      <c r="A153" s="20" t="n">
        <v>45901</v>
      </c>
      <c r="B153" s="16" t="inlineStr">
        <is>
          <t>7219/0010</t>
        </is>
      </c>
      <c r="C153" s="16" t="inlineStr">
        <is>
          <t>RECEIPT</t>
        </is>
      </c>
      <c r="D153" s="16" t="n">
        <v>29</v>
      </c>
      <c r="E153" s="16" t="inlineStr">
        <is>
          <t>FOC_TE_21</t>
        </is>
      </c>
      <c r="F153" s="16" t="n"/>
      <c r="G153" s="16" t="inlineStr">
        <is>
          <t>lab.store@jcb.com</t>
        </is>
      </c>
      <c r="H153" s="16" t="n"/>
    </row>
    <row r="154" ht="15" customHeight="1" s="13">
      <c r="A154" s="20" t="n">
        <v>45901</v>
      </c>
      <c r="B154" s="16" t="inlineStr">
        <is>
          <t>332/N1497</t>
        </is>
      </c>
      <c r="C154" s="16" t="inlineStr">
        <is>
          <t>RECEIPT</t>
        </is>
      </c>
      <c r="D154" s="16" t="n">
        <v>150</v>
      </c>
      <c r="E154" s="16" t="inlineStr">
        <is>
          <t>FOC_TE_21</t>
        </is>
      </c>
      <c r="F154" s="16" t="n"/>
      <c r="G154" s="16" t="inlineStr">
        <is>
          <t>lab.store@jcb.com</t>
        </is>
      </c>
      <c r="H154" s="16" t="n"/>
    </row>
    <row r="155" ht="15" customHeight="1" s="13">
      <c r="A155" s="20" t="n">
        <v>45901</v>
      </c>
      <c r="B155" s="16" t="inlineStr">
        <is>
          <t>7214/0030</t>
        </is>
      </c>
      <c r="C155" s="16" t="inlineStr">
        <is>
          <t>RECEIPT</t>
        </is>
      </c>
      <c r="D155" s="16" t="n">
        <v>10</v>
      </c>
      <c r="E155" s="16" t="inlineStr">
        <is>
          <t>FOC_TE_21</t>
        </is>
      </c>
      <c r="F155" s="16" t="n"/>
      <c r="G155" s="16" t="inlineStr">
        <is>
          <t>lab.store@jcb.com</t>
        </is>
      </c>
      <c r="H155" s="16" t="n"/>
    </row>
    <row r="156" ht="15" customHeight="1" s="13">
      <c r="A156" s="20" t="n">
        <v>45901</v>
      </c>
      <c r="B156" s="16" t="inlineStr">
        <is>
          <t>7212/0031</t>
        </is>
      </c>
      <c r="C156" s="16" t="inlineStr">
        <is>
          <t>RECEIPT</t>
        </is>
      </c>
      <c r="D156" s="16" t="n">
        <v>10</v>
      </c>
      <c r="E156" s="16" t="inlineStr">
        <is>
          <t>FOC_TE_21</t>
        </is>
      </c>
      <c r="F156" s="16" t="n"/>
      <c r="G156" s="16" t="inlineStr">
        <is>
          <t>lab.store@jcb.com</t>
        </is>
      </c>
      <c r="H156" s="16" t="n"/>
    </row>
    <row r="157" ht="15" customHeight="1" s="13">
      <c r="A157" s="20" t="n">
        <v>45901</v>
      </c>
      <c r="B157" s="16" t="inlineStr">
        <is>
          <t>7219/0309</t>
        </is>
      </c>
      <c r="C157" s="16" t="inlineStr">
        <is>
          <t>RECEIPT</t>
        </is>
      </c>
      <c r="D157" s="16" t="n">
        <v>10</v>
      </c>
      <c r="E157" s="16" t="inlineStr">
        <is>
          <t>FOC_TE_21</t>
        </is>
      </c>
      <c r="F157" s="16" t="n"/>
      <c r="G157" s="16" t="inlineStr">
        <is>
          <t>lab.store@jcb.com</t>
        </is>
      </c>
      <c r="H157" s="16" t="n"/>
    </row>
    <row r="158" ht="15" customHeight="1" s="13">
      <c r="A158" s="20" t="n">
        <v>45901</v>
      </c>
      <c r="B158" s="16" t="inlineStr">
        <is>
          <t>7201/0095</t>
        </is>
      </c>
      <c r="C158" s="16" t="inlineStr">
        <is>
          <t>RECEIPT</t>
        </is>
      </c>
      <c r="D158" s="16" t="n">
        <v>70</v>
      </c>
      <c r="E158" s="16" t="inlineStr">
        <is>
          <t>FOC_TE_21</t>
        </is>
      </c>
      <c r="F158" s="16" t="n"/>
      <c r="G158" s="16" t="inlineStr">
        <is>
          <t>lab.store@jcb.com</t>
        </is>
      </c>
      <c r="H158" s="16" t="n"/>
    </row>
    <row r="159" ht="15" customHeight="1" s="13">
      <c r="A159" s="20" t="n">
        <v>45901</v>
      </c>
      <c r="B159" s="16" t="inlineStr">
        <is>
          <t>7213/0024</t>
        </is>
      </c>
      <c r="C159" s="16" t="inlineStr">
        <is>
          <t>RECEIPT</t>
        </is>
      </c>
      <c r="D159" s="16" t="n">
        <v>5</v>
      </c>
      <c r="E159" s="16" t="inlineStr">
        <is>
          <t>FOC_TE_21</t>
        </is>
      </c>
      <c r="F159" s="16" t="n"/>
      <c r="G159" s="16" t="inlineStr">
        <is>
          <t>lab.store@jcb.com</t>
        </is>
      </c>
      <c r="H159" s="16" t="n"/>
    </row>
    <row r="160" ht="15" customHeight="1" s="13">
      <c r="A160" s="20" t="n">
        <v>45901</v>
      </c>
      <c r="B160" s="16" t="inlineStr">
        <is>
          <t>7204/0028</t>
        </is>
      </c>
      <c r="C160" s="16" t="inlineStr">
        <is>
          <t>RECEIPT</t>
        </is>
      </c>
      <c r="D160" s="16" t="n">
        <v>100</v>
      </c>
      <c r="E160" s="16" t="inlineStr">
        <is>
          <t>MAHENDRA BACKUP</t>
        </is>
      </c>
      <c r="F160" s="16" t="n"/>
      <c r="G160" s="16" t="inlineStr">
        <is>
          <t>lab.store@jcb.com</t>
        </is>
      </c>
      <c r="H160" s="16" t="n"/>
    </row>
    <row r="161" ht="15" customHeight="1" s="13">
      <c r="A161" s="20" t="n">
        <v>45901</v>
      </c>
      <c r="B161" s="16" t="inlineStr">
        <is>
          <t>7201/0881</t>
        </is>
      </c>
      <c r="C161" s="16" t="inlineStr">
        <is>
          <t>RECEIPT</t>
        </is>
      </c>
      <c r="D161" s="16" t="n">
        <v>70</v>
      </c>
      <c r="E161" s="16" t="inlineStr">
        <is>
          <t>MAHENDRA BACKUP</t>
        </is>
      </c>
      <c r="F161" s="16" t="n"/>
      <c r="G161" s="16" t="inlineStr">
        <is>
          <t>lab.store@jcb.com</t>
        </is>
      </c>
      <c r="H161" s="16" t="n"/>
    </row>
    <row r="162" ht="15" customHeight="1" s="13">
      <c r="A162" s="20" t="n">
        <v>45901</v>
      </c>
      <c r="B162" s="16" t="inlineStr">
        <is>
          <t>7219/0181</t>
        </is>
      </c>
      <c r="C162" s="16" t="inlineStr">
        <is>
          <t>RECEIPT</t>
        </is>
      </c>
      <c r="D162" s="16" t="n">
        <v>5</v>
      </c>
      <c r="E162" s="16" t="inlineStr">
        <is>
          <t>old parts</t>
        </is>
      </c>
      <c r="F162" s="16" t="n"/>
      <c r="G162" s="16" t="inlineStr">
        <is>
          <t>lab.store@jcb.com</t>
        </is>
      </c>
      <c r="H162" s="16" t="n"/>
    </row>
    <row r="163" ht="15" customHeight="1" s="13">
      <c r="A163" s="20" t="n">
        <v>45901</v>
      </c>
      <c r="B163" s="16" t="inlineStr">
        <is>
          <t>7212/0052</t>
        </is>
      </c>
      <c r="C163" s="16" t="inlineStr">
        <is>
          <t>RECEIPT</t>
        </is>
      </c>
      <c r="D163" s="16" t="n">
        <v>5</v>
      </c>
      <c r="E163" s="16" t="inlineStr">
        <is>
          <t>FOC_TE_21</t>
        </is>
      </c>
      <c r="F163" s="16" t="n"/>
      <c r="G163" s="16" t="inlineStr">
        <is>
          <t>lab.store@jcb.com</t>
        </is>
      </c>
      <c r="H163" s="16" t="n"/>
    </row>
    <row r="164" ht="15" customHeight="1" s="13">
      <c r="A164" s="20" t="n">
        <v>45901</v>
      </c>
      <c r="B164" s="16" t="inlineStr">
        <is>
          <t>7213/0015</t>
        </is>
      </c>
      <c r="C164" s="16" t="inlineStr">
        <is>
          <t>RECEIPT</t>
        </is>
      </c>
      <c r="D164" s="16" t="n">
        <v>3</v>
      </c>
      <c r="E164" s="16" t="inlineStr">
        <is>
          <t>FOC_TE_21</t>
        </is>
      </c>
      <c r="F164" s="16" t="n"/>
      <c r="G164" s="16" t="inlineStr">
        <is>
          <t>lab.store@jcb.com</t>
        </is>
      </c>
      <c r="H164" s="16" t="n"/>
    </row>
    <row r="165" ht="15" customHeight="1" s="13">
      <c r="A165" s="20" t="n">
        <v>45901</v>
      </c>
      <c r="B165" s="16" t="inlineStr">
        <is>
          <t>7213/0031</t>
        </is>
      </c>
      <c r="C165" s="16" t="inlineStr">
        <is>
          <t>RECEIPT</t>
        </is>
      </c>
      <c r="D165" s="16" t="n">
        <v>2</v>
      </c>
      <c r="E165" s="16" t="inlineStr">
        <is>
          <t>FOC_TE_21</t>
        </is>
      </c>
      <c r="F165" s="16" t="n"/>
      <c r="G165" s="16" t="inlineStr">
        <is>
          <t>lab.store@jcb.com</t>
        </is>
      </c>
      <c r="H165" s="16" t="n"/>
    </row>
    <row r="166" ht="15" customHeight="1" s="13">
      <c r="A166" s="20" t="n">
        <v>45901</v>
      </c>
      <c r="B166" s="16" t="inlineStr">
        <is>
          <t>7212/0031</t>
        </is>
      </c>
      <c r="C166" s="16" t="inlineStr">
        <is>
          <t>RECEIPT</t>
        </is>
      </c>
      <c r="D166" s="16" t="n">
        <v>10</v>
      </c>
      <c r="E166" s="16" t="inlineStr">
        <is>
          <t>FOC_TE_21</t>
        </is>
      </c>
      <c r="F166" s="16" t="n"/>
      <c r="G166" s="16" t="inlineStr">
        <is>
          <t>lab.store@jcb.com</t>
        </is>
      </c>
      <c r="H166" s="16" t="n"/>
    </row>
    <row r="167" ht="15" customHeight="1" s="13">
      <c r="A167" s="20" t="n">
        <v>45902</v>
      </c>
      <c r="B167" s="16" t="inlineStr">
        <is>
          <t>MC000RVT1CXX1SQ001</t>
        </is>
      </c>
      <c r="C167" s="16" t="inlineStr">
        <is>
          <t>RECEIPT</t>
        </is>
      </c>
      <c r="D167" s="16" t="n">
        <v>50</v>
      </c>
      <c r="E167" s="16" t="inlineStr">
        <is>
          <t>9700009778</t>
        </is>
      </c>
      <c r="F167" s="16" t="n">
        <v>12</v>
      </c>
      <c r="G167" s="16" t="inlineStr">
        <is>
          <t>lab.store@jcb.com</t>
        </is>
      </c>
      <c r="H167" s="16" t="n"/>
    </row>
    <row r="168" ht="15" customHeight="1" s="13">
      <c r="A168" s="20" t="n">
        <v>45902</v>
      </c>
      <c r="B168" s="16" t="inlineStr">
        <is>
          <t>MC000RVT1CXX1SQ002</t>
        </is>
      </c>
      <c r="C168" s="16" t="inlineStr">
        <is>
          <t>RECEIPT</t>
        </is>
      </c>
      <c r="D168" s="16" t="n">
        <v>50</v>
      </c>
      <c r="E168" s="16" t="inlineStr">
        <is>
          <t>9700009778</t>
        </is>
      </c>
      <c r="F168" s="16" t="n">
        <v>12</v>
      </c>
      <c r="G168" s="16" t="inlineStr">
        <is>
          <t>lab.store@jcb.com</t>
        </is>
      </c>
      <c r="H168" s="16" t="n"/>
    </row>
    <row r="169" ht="15" customHeight="1" s="13">
      <c r="A169" s="20" t="n">
        <v>45902</v>
      </c>
      <c r="B169" s="16" t="inlineStr">
        <is>
          <t>MC000RVT1CXX1SQ003</t>
        </is>
      </c>
      <c r="C169" s="16" t="inlineStr">
        <is>
          <t>RECEIPT</t>
        </is>
      </c>
      <c r="D169" s="16" t="n">
        <v>50</v>
      </c>
      <c r="E169" s="16" t="inlineStr">
        <is>
          <t>9700009778</t>
        </is>
      </c>
      <c r="F169" s="16" t="n">
        <v>12</v>
      </c>
      <c r="G169" s="16" t="inlineStr">
        <is>
          <t>lab.store@jcb.com</t>
        </is>
      </c>
      <c r="H169" s="16" t="n"/>
    </row>
    <row r="170" ht="15" customHeight="1" s="13">
      <c r="A170" s="20" t="n">
        <v>45902</v>
      </c>
      <c r="B170" s="16" t="inlineStr">
        <is>
          <t>MC000RVT1CXX1SQ004</t>
        </is>
      </c>
      <c r="C170" s="16" t="inlineStr">
        <is>
          <t>RECEIPT</t>
        </is>
      </c>
      <c r="D170" s="16" t="n">
        <v>50</v>
      </c>
      <c r="E170" s="16" t="inlineStr">
        <is>
          <t>9700009778</t>
        </is>
      </c>
      <c r="F170" s="16" t="n">
        <v>12</v>
      </c>
      <c r="G170" s="16" t="inlineStr">
        <is>
          <t>lab.store@jcb.com</t>
        </is>
      </c>
      <c r="H170" s="16" t="n"/>
    </row>
    <row r="171" ht="15" customHeight="1" s="13">
      <c r="A171" s="20" t="n">
        <v>45902</v>
      </c>
      <c r="B171" s="16" t="inlineStr">
        <is>
          <t>P_CON_GEN_ASLY_002</t>
        </is>
      </c>
      <c r="C171" s="16" t="inlineStr">
        <is>
          <t>RECEIPT</t>
        </is>
      </c>
      <c r="D171" s="16" t="n">
        <v>25</v>
      </c>
      <c r="E171" s="16" t="inlineStr">
        <is>
          <t>9700009778</t>
        </is>
      </c>
      <c r="F171" s="16" t="n">
        <v>10</v>
      </c>
      <c r="G171" s="16" t="inlineStr">
        <is>
          <t>lab.store@jcb.com</t>
        </is>
      </c>
      <c r="H171" s="16" t="n"/>
    </row>
    <row r="172" ht="15" customHeight="1" s="13">
      <c r="A172" s="20" t="n">
        <v>45902</v>
      </c>
      <c r="B172" s="16" t="inlineStr">
        <is>
          <t>MC000SWRDTSPXXX001</t>
        </is>
      </c>
      <c r="C172" s="16" t="inlineStr">
        <is>
          <t>RECEIPT</t>
        </is>
      </c>
      <c r="D172" s="16" t="n">
        <v>5</v>
      </c>
      <c r="E172" s="16" t="inlineStr">
        <is>
          <t>9700009779</t>
        </is>
      </c>
      <c r="F172" s="16" t="n"/>
      <c r="G172" s="16" t="inlineStr">
        <is>
          <t>lab.store@jcb.com</t>
        </is>
      </c>
      <c r="H172" s="16" t="n"/>
    </row>
    <row r="173" ht="15" customHeight="1" s="13">
      <c r="A173" s="20" t="n">
        <v>45902</v>
      </c>
      <c r="B173" s="16" t="inlineStr">
        <is>
          <t>MC000SFLRVRSXXX001</t>
        </is>
      </c>
      <c r="C173" s="16" t="inlineStr">
        <is>
          <t>RECEIPT</t>
        </is>
      </c>
      <c r="D173" s="16" t="n">
        <v>10</v>
      </c>
      <c r="E173" s="16" t="inlineStr">
        <is>
          <t>9700009779</t>
        </is>
      </c>
      <c r="F173" s="16" t="n">
        <v>101</v>
      </c>
      <c r="G173" s="16" t="inlineStr">
        <is>
          <t>lab.store@jcb.com</t>
        </is>
      </c>
      <c r="H173" s="16" t="n"/>
    </row>
    <row r="174" ht="15" customHeight="1" s="13">
      <c r="A174" s="20" t="n">
        <v>45902</v>
      </c>
      <c r="B174" s="16" t="inlineStr">
        <is>
          <t>MC000IPCFLFLXXX001</t>
        </is>
      </c>
      <c r="C174" s="16" t="inlineStr">
        <is>
          <t>RECEIPT</t>
        </is>
      </c>
      <c r="D174" s="16" t="n">
        <v>2</v>
      </c>
      <c r="E174" s="16" t="inlineStr">
        <is>
          <t>9700009779</t>
        </is>
      </c>
      <c r="F174" s="16" t="n">
        <v>9282</v>
      </c>
      <c r="G174" s="16" t="inlineStr">
        <is>
          <t>lab.store@jcb.com</t>
        </is>
      </c>
      <c r="H174" s="16" t="n"/>
    </row>
    <row r="175" ht="15" customHeight="1" s="13">
      <c r="A175" s="20" t="n">
        <v>45902</v>
      </c>
      <c r="B175" s="16" t="inlineStr">
        <is>
          <t>MC000TCNRVSTXXX001</t>
        </is>
      </c>
      <c r="C175" s="16" t="inlineStr">
        <is>
          <t>RECEIPT</t>
        </is>
      </c>
      <c r="D175" s="16" t="n">
        <v>100</v>
      </c>
      <c r="E175" s="16" t="inlineStr">
        <is>
          <t>9700009779</t>
        </is>
      </c>
      <c r="F175" s="16" t="n">
        <v>20</v>
      </c>
      <c r="G175" s="16" t="inlineStr">
        <is>
          <t>lab.store@jcb.com</t>
        </is>
      </c>
      <c r="H175" s="16" t="n"/>
    </row>
    <row r="176" ht="15" customHeight="1" s="13">
      <c r="A176" s="20" t="n">
        <v>45902</v>
      </c>
      <c r="B176" s="16" t="inlineStr">
        <is>
          <t>MC000RVT1CXX2SQ001</t>
        </is>
      </c>
      <c r="C176" s="16" t="inlineStr">
        <is>
          <t>RECEIPT</t>
        </is>
      </c>
      <c r="D176" s="16" t="n">
        <v>5</v>
      </c>
      <c r="E176" s="16" t="inlineStr">
        <is>
          <t>9700009779</t>
        </is>
      </c>
      <c r="F176" s="16" t="n">
        <v>13</v>
      </c>
      <c r="G176" s="16" t="inlineStr">
        <is>
          <t>lab.store@jcb.com</t>
        </is>
      </c>
      <c r="H176" s="16" t="n"/>
    </row>
    <row r="177" ht="15" customHeight="1" s="13">
      <c r="A177" s="20" t="n">
        <v>45902</v>
      </c>
      <c r="B177" s="16" t="inlineStr">
        <is>
          <t>MC000RVTXXJCXX001</t>
        </is>
      </c>
      <c r="C177" s="16" t="inlineStr">
        <is>
          <t>RECEIPT</t>
        </is>
      </c>
      <c r="D177" s="16" t="n">
        <v>100</v>
      </c>
      <c r="E177" s="16" t="inlineStr">
        <is>
          <t>9700009779</t>
        </is>
      </c>
      <c r="F177" s="16" t="n">
        <v>7</v>
      </c>
      <c r="G177" s="16" t="inlineStr">
        <is>
          <t>lab.store@jcb.com</t>
        </is>
      </c>
      <c r="H177" s="16" t="n"/>
    </row>
    <row r="178" ht="15" customHeight="1" s="13">
      <c r="A178" s="20" t="n">
        <v>45902</v>
      </c>
      <c r="B178" s="16" t="inlineStr">
        <is>
          <t>MC000RVTXXJCXX002</t>
        </is>
      </c>
      <c r="C178" s="16" t="inlineStr">
        <is>
          <t>RECEIPT</t>
        </is>
      </c>
      <c r="D178" s="16" t="n">
        <v>100</v>
      </c>
      <c r="E178" s="16" t="inlineStr">
        <is>
          <t>9700009779</t>
        </is>
      </c>
      <c r="F178" s="16" t="n">
        <v>9</v>
      </c>
      <c r="G178" s="16" t="inlineStr">
        <is>
          <t>lab.store@jcb.com</t>
        </is>
      </c>
      <c r="H178" s="16" t="n"/>
    </row>
    <row r="179" ht="15" customHeight="1" s="13">
      <c r="A179" s="20" t="n">
        <v>45902</v>
      </c>
      <c r="B179" s="16" t="inlineStr">
        <is>
          <t>MC000RVTXXJCXX003</t>
        </is>
      </c>
      <c r="C179" s="16" t="inlineStr">
        <is>
          <t>RECEIPT</t>
        </is>
      </c>
      <c r="D179" s="16" t="n">
        <v>100</v>
      </c>
      <c r="E179" s="16" t="inlineStr">
        <is>
          <t>9700009779</t>
        </is>
      </c>
      <c r="F179" s="16" t="n">
        <v>7</v>
      </c>
      <c r="G179" s="16" t="inlineStr">
        <is>
          <t>lab.store@jcb.com</t>
        </is>
      </c>
      <c r="H179" s="16" t="n"/>
    </row>
    <row r="180" ht="15" customHeight="1" s="13">
      <c r="A180" s="20" t="n">
        <v>45902</v>
      </c>
      <c r="B180" s="16" t="inlineStr">
        <is>
          <t>MC000CBLRVXXXXX001</t>
        </is>
      </c>
      <c r="C180" s="16" t="inlineStr">
        <is>
          <t>RECEIPT</t>
        </is>
      </c>
      <c r="D180" s="16" t="n">
        <v>1</v>
      </c>
      <c r="E180" s="16" t="inlineStr">
        <is>
          <t>9700009779</t>
        </is>
      </c>
      <c r="F180" s="16" t="n">
        <v>1063</v>
      </c>
      <c r="G180" s="16" t="inlineStr">
        <is>
          <t>lab.store@jcb.com</t>
        </is>
      </c>
      <c r="H180" s="16" t="n"/>
    </row>
    <row r="181" ht="15" customHeight="1" s="13">
      <c r="A181" s="20" t="n">
        <v>45922</v>
      </c>
      <c r="B181" s="16" t="inlineStr">
        <is>
          <t>M2000A06SC04AA0001</t>
        </is>
      </c>
      <c r="C181" s="16" t="inlineStr">
        <is>
          <t>RECEIPT</t>
        </is>
      </c>
      <c r="D181" s="16" t="n">
        <v>1</v>
      </c>
      <c r="E181" s="16" t="inlineStr">
        <is>
          <t>9700009808</t>
        </is>
      </c>
      <c r="F181" s="16" t="n">
        <v>24000</v>
      </c>
      <c r="G181" s="16" t="inlineStr">
        <is>
          <t>lab.store@jcb.com</t>
        </is>
      </c>
      <c r="H181" s="16" t="n"/>
    </row>
    <row r="182" ht="15" customHeight="1" s="13">
      <c r="A182" s="20" t="n">
        <v>45933</v>
      </c>
      <c r="B182" s="16" t="inlineStr">
        <is>
          <t>7238/0002</t>
        </is>
      </c>
      <c r="C182" s="16" t="inlineStr">
        <is>
          <t>RECEIPT</t>
        </is>
      </c>
      <c r="D182" s="16" t="n">
        <v>7</v>
      </c>
      <c r="E182" s="16" t="inlineStr">
        <is>
          <t>1310012168</t>
        </is>
      </c>
      <c r="F182" s="16" t="n">
        <v>44.1</v>
      </c>
      <c r="G182" s="16" t="inlineStr">
        <is>
          <t>lab.store@jcb.com</t>
        </is>
      </c>
      <c r="H182" s="16" t="n"/>
    </row>
    <row r="183" ht="15" customHeight="1" s="13">
      <c r="A183" s="20" t="n">
        <v>45933</v>
      </c>
      <c r="B183" s="16" t="inlineStr">
        <is>
          <t>7238/0003</t>
        </is>
      </c>
      <c r="C183" s="16" t="inlineStr">
        <is>
          <t>RECEIPT</t>
        </is>
      </c>
      <c r="D183" s="16" t="n">
        <v>7</v>
      </c>
      <c r="E183" s="16" t="inlineStr">
        <is>
          <t>1310012168</t>
        </is>
      </c>
      <c r="F183" s="16" t="n">
        <v>44.1</v>
      </c>
      <c r="G183" s="16" t="inlineStr">
        <is>
          <t>lab.store@jcb.com</t>
        </is>
      </c>
      <c r="H183" s="16" t="n"/>
    </row>
    <row r="184" ht="15" customHeight="1" s="13">
      <c r="A184" s="20" t="n">
        <v>45933</v>
      </c>
      <c r="B184" s="16" t="inlineStr">
        <is>
          <t>7214/0002</t>
        </is>
      </c>
      <c r="C184" s="16" t="inlineStr">
        <is>
          <t>RECEIPT</t>
        </is>
      </c>
      <c r="D184" s="16" t="n">
        <v>14</v>
      </c>
      <c r="E184" s="16" t="inlineStr">
        <is>
          <t>1310012168</t>
        </is>
      </c>
      <c r="F184" s="16" t="n">
        <v>14.38</v>
      </c>
      <c r="G184" s="16" t="inlineStr">
        <is>
          <t>lab.store@jcb.com</t>
        </is>
      </c>
      <c r="H184" s="16" t="n"/>
    </row>
    <row r="185" ht="15" customHeight="1" s="13">
      <c r="A185" s="20" t="n">
        <v>45933</v>
      </c>
      <c r="B185" s="16" t="inlineStr">
        <is>
          <t>7216/0001</t>
        </is>
      </c>
      <c r="C185" s="16" t="inlineStr">
        <is>
          <t>RECEIPT</t>
        </is>
      </c>
      <c r="D185" s="16" t="n">
        <v>19</v>
      </c>
      <c r="E185" s="16" t="inlineStr">
        <is>
          <t>1310012168</t>
        </is>
      </c>
      <c r="F185" s="16" t="n">
        <v>35.27</v>
      </c>
      <c r="G185" s="16" t="inlineStr">
        <is>
          <t>lab.store@jcb.com</t>
        </is>
      </c>
      <c r="H185" s="16" t="n"/>
    </row>
    <row r="186" ht="15" customHeight="1" s="13">
      <c r="A186" s="20" t="n">
        <v>45933</v>
      </c>
      <c r="B186" s="16" t="inlineStr">
        <is>
          <t>7216/0002</t>
        </is>
      </c>
      <c r="C186" s="16" t="inlineStr">
        <is>
          <t>RECEIPT</t>
        </is>
      </c>
      <c r="D186" s="16" t="n">
        <v>7</v>
      </c>
      <c r="E186" s="16" t="inlineStr">
        <is>
          <t>1310012168</t>
        </is>
      </c>
      <c r="F186" s="16" t="n">
        <v>25.93</v>
      </c>
      <c r="G186" s="16" t="inlineStr">
        <is>
          <t>lab.store@jcb.com</t>
        </is>
      </c>
      <c r="H186" s="16" t="n"/>
    </row>
    <row r="187" ht="15" customHeight="1" s="13">
      <c r="A187" s="20" t="n">
        <v>45933</v>
      </c>
      <c r="B187" s="16" t="inlineStr">
        <is>
          <t>7211/0026</t>
        </is>
      </c>
      <c r="C187" s="16" t="inlineStr">
        <is>
          <t>RECEIPT</t>
        </is>
      </c>
      <c r="D187" s="16" t="n">
        <v>14</v>
      </c>
      <c r="E187" s="16" t="inlineStr">
        <is>
          <t>1310012168</t>
        </is>
      </c>
      <c r="F187" s="16" t="n">
        <v>42.09</v>
      </c>
      <c r="G187" s="16" t="inlineStr">
        <is>
          <t>lab.store@jcb.com</t>
        </is>
      </c>
      <c r="H187" s="16" t="n"/>
    </row>
    <row r="188" ht="15" customHeight="1" s="13">
      <c r="A188" s="20" t="n">
        <v>45933</v>
      </c>
      <c r="B188" s="16" t="inlineStr">
        <is>
          <t>7243/0282</t>
        </is>
      </c>
      <c r="C188" s="16" t="inlineStr">
        <is>
          <t>RECEIPT</t>
        </is>
      </c>
      <c r="D188" s="16" t="n">
        <v>7</v>
      </c>
      <c r="E188" s="16" t="inlineStr">
        <is>
          <t>1310012168</t>
        </is>
      </c>
      <c r="F188" s="16" t="n">
        <v>29.04</v>
      </c>
      <c r="G188" s="16" t="inlineStr">
        <is>
          <t>lab.store@jcb.com</t>
        </is>
      </c>
      <c r="H188" s="16" t="n"/>
    </row>
    <row r="189" ht="15" customHeight="1" s="13">
      <c r="A189" s="20" t="n">
        <v>45933</v>
      </c>
      <c r="B189" s="16" t="inlineStr">
        <is>
          <t>7243/0383</t>
        </is>
      </c>
      <c r="C189" s="16" t="inlineStr">
        <is>
          <t>RECEIPT</t>
        </is>
      </c>
      <c r="D189" s="16" t="n">
        <v>7</v>
      </c>
      <c r="E189" s="16" t="inlineStr">
        <is>
          <t>1310012168</t>
        </is>
      </c>
      <c r="F189" s="16" t="n">
        <v>288.84</v>
      </c>
      <c r="G189" s="16" t="inlineStr">
        <is>
          <t>lab.store@jcb.com</t>
        </is>
      </c>
      <c r="H189" s="16" t="n"/>
    </row>
    <row r="190" ht="15" customHeight="1" s="13">
      <c r="A190" s="20" t="n">
        <v>45933</v>
      </c>
      <c r="B190" s="16" t="inlineStr">
        <is>
          <t>7243/0318</t>
        </is>
      </c>
      <c r="C190" s="16" t="inlineStr">
        <is>
          <t>RECEIPT</t>
        </is>
      </c>
      <c r="D190" s="16" t="n">
        <v>7</v>
      </c>
      <c r="E190" s="16" t="inlineStr">
        <is>
          <t>1310012168</t>
        </is>
      </c>
      <c r="F190" s="16" t="n">
        <v>271.33</v>
      </c>
      <c r="G190" s="16" t="inlineStr">
        <is>
          <t>lab.store@jcb.com</t>
        </is>
      </c>
      <c r="H190" s="16" t="n"/>
    </row>
    <row r="191" ht="15" customHeight="1" s="13">
      <c r="A191" s="20" t="n">
        <v>45933</v>
      </c>
      <c r="B191" s="16" t="inlineStr">
        <is>
          <t>7243/0323</t>
        </is>
      </c>
      <c r="C191" s="16" t="inlineStr">
        <is>
          <t>RECEIPT</t>
        </is>
      </c>
      <c r="D191" s="16" t="n">
        <v>17</v>
      </c>
      <c r="E191" s="16" t="inlineStr">
        <is>
          <t>1310012168</t>
        </is>
      </c>
      <c r="F191" s="16" t="n">
        <v>262.13</v>
      </c>
      <c r="G191" s="16" t="inlineStr">
        <is>
          <t>lab.store@jcb.com</t>
        </is>
      </c>
      <c r="H191" s="16" t="n"/>
    </row>
    <row r="192" ht="15" customHeight="1" s="13">
      <c r="A192" s="20" t="n">
        <v>45933</v>
      </c>
      <c r="B192" s="16" t="inlineStr">
        <is>
          <t>7243/0273</t>
        </is>
      </c>
      <c r="C192" s="16" t="inlineStr">
        <is>
          <t>RECEIPT</t>
        </is>
      </c>
      <c r="D192" s="16" t="n">
        <v>14</v>
      </c>
      <c r="E192" s="16" t="inlineStr">
        <is>
          <t>1310012168</t>
        </is>
      </c>
      <c r="F192" s="16" t="n">
        <v>19.36</v>
      </c>
      <c r="G192" s="16" t="inlineStr">
        <is>
          <t>lab.store@jcb.com</t>
        </is>
      </c>
      <c r="H192" s="16" t="n"/>
    </row>
    <row r="193" ht="15" customHeight="1" s="13">
      <c r="A193" s="20" t="n">
        <v>45933</v>
      </c>
      <c r="B193" s="16" t="inlineStr">
        <is>
          <t>7212/0179</t>
        </is>
      </c>
      <c r="C193" s="16" t="inlineStr">
        <is>
          <t>RECEIPT</t>
        </is>
      </c>
      <c r="D193" s="16" t="n">
        <v>7</v>
      </c>
      <c r="E193" s="16" t="inlineStr">
        <is>
          <t>1310012168</t>
        </is>
      </c>
      <c r="F193" s="16" t="n">
        <v>71.48</v>
      </c>
      <c r="G193" s="16" t="inlineStr">
        <is>
          <t>lab.store@jcb.com</t>
        </is>
      </c>
      <c r="H193" s="16" t="n"/>
    </row>
    <row r="194" ht="15" customHeight="1" s="13">
      <c r="A194" s="20" t="n">
        <v>45933</v>
      </c>
      <c r="B194" s="16" t="inlineStr">
        <is>
          <t>7212/0080</t>
        </is>
      </c>
      <c r="C194" s="16" t="inlineStr">
        <is>
          <t>RECEIPT</t>
        </is>
      </c>
      <c r="D194" s="16" t="n">
        <v>14</v>
      </c>
      <c r="E194" s="16" t="inlineStr">
        <is>
          <t>1310012168</t>
        </is>
      </c>
      <c r="F194" s="16" t="n">
        <v>43.76</v>
      </c>
      <c r="G194" s="16" t="inlineStr">
        <is>
          <t>lab.store@jcb.com</t>
        </is>
      </c>
      <c r="H194" s="16" t="n"/>
    </row>
    <row r="195" ht="15" customHeight="1" s="13">
      <c r="A195" s="20" t="n">
        <v>45933</v>
      </c>
      <c r="B195" s="16" t="inlineStr">
        <is>
          <t>7212/0051</t>
        </is>
      </c>
      <c r="C195" s="16" t="inlineStr">
        <is>
          <t>RECEIPT</t>
        </is>
      </c>
      <c r="D195" s="16" t="n">
        <v>24</v>
      </c>
      <c r="E195" s="16" t="inlineStr">
        <is>
          <t>1310012168</t>
        </is>
      </c>
      <c r="F195" s="16" t="n">
        <v>52.07</v>
      </c>
      <c r="G195" s="16" t="inlineStr">
        <is>
          <t>lab.store@jcb.com</t>
        </is>
      </c>
      <c r="H195" s="16" t="n"/>
    </row>
    <row r="196" ht="15" customHeight="1" s="13">
      <c r="A196" s="20" t="n">
        <v>45933</v>
      </c>
      <c r="B196" s="16" t="inlineStr">
        <is>
          <t>7212/0121</t>
        </is>
      </c>
      <c r="C196" s="16" t="inlineStr">
        <is>
          <t>RECEIPT</t>
        </is>
      </c>
      <c r="D196" s="16" t="n">
        <v>14</v>
      </c>
      <c r="E196" s="16" t="inlineStr">
        <is>
          <t>1310012168</t>
        </is>
      </c>
      <c r="F196" s="16" t="n">
        <v>8.880000000000001</v>
      </c>
      <c r="G196" s="16" t="inlineStr">
        <is>
          <t>lab.store@jcb.com</t>
        </is>
      </c>
      <c r="H196" s="16" t="n"/>
    </row>
    <row r="197" ht="15" customHeight="1" s="13">
      <c r="A197" s="20" t="n">
        <v>45933</v>
      </c>
      <c r="B197" s="16" t="inlineStr">
        <is>
          <t>7214/0025</t>
        </is>
      </c>
      <c r="C197" s="16" t="inlineStr">
        <is>
          <t>RECEIPT</t>
        </is>
      </c>
      <c r="D197" s="16" t="n">
        <v>7</v>
      </c>
      <c r="E197" s="16" t="inlineStr">
        <is>
          <t>1310012168</t>
        </is>
      </c>
      <c r="F197" s="16" t="n">
        <v>96.95999999999999</v>
      </c>
      <c r="G197" s="16" t="inlineStr">
        <is>
          <t>lab.store@jcb.com</t>
        </is>
      </c>
      <c r="H197" s="16" t="n"/>
    </row>
    <row r="198" ht="15" customHeight="1" s="13">
      <c r="A198" s="20" t="n">
        <v>45933</v>
      </c>
      <c r="B198" s="16" t="inlineStr">
        <is>
          <t>7219/0248</t>
        </is>
      </c>
      <c r="C198" s="16" t="inlineStr">
        <is>
          <t>RECEIPT</t>
        </is>
      </c>
      <c r="D198" s="16" t="n">
        <v>14</v>
      </c>
      <c r="E198" s="16" t="inlineStr">
        <is>
          <t>1310012168</t>
        </is>
      </c>
      <c r="F198" s="16" t="n">
        <v>57.7</v>
      </c>
      <c r="G198" s="16" t="inlineStr">
        <is>
          <t>lab.store@jcb.com</t>
        </is>
      </c>
      <c r="H198" s="16" t="n"/>
    </row>
    <row r="199" ht="15" customHeight="1" s="13">
      <c r="A199" s="20" t="n">
        <v>45933</v>
      </c>
      <c r="B199" s="16" t="inlineStr">
        <is>
          <t>7219/0249</t>
        </is>
      </c>
      <c r="C199" s="16" t="inlineStr">
        <is>
          <t>RECEIPT</t>
        </is>
      </c>
      <c r="D199" s="16" t="n">
        <v>14</v>
      </c>
      <c r="E199" s="16" t="inlineStr">
        <is>
          <t>1310012168</t>
        </is>
      </c>
      <c r="F199" s="16" t="n">
        <v>94.16</v>
      </c>
      <c r="G199" s="16" t="inlineStr">
        <is>
          <t>lab.store@jcb.com</t>
        </is>
      </c>
      <c r="H199" s="16" t="n"/>
    </row>
    <row r="200" ht="15" customHeight="1" s="13">
      <c r="A200" s="20" t="n">
        <v>45933</v>
      </c>
      <c r="B200" s="16" t="inlineStr">
        <is>
          <t>7219/0191</t>
        </is>
      </c>
      <c r="C200" s="16" t="inlineStr">
        <is>
          <t>RECEIPT</t>
        </is>
      </c>
      <c r="D200" s="16" t="n">
        <v>7</v>
      </c>
      <c r="E200" s="16" t="inlineStr">
        <is>
          <t>1310012168</t>
        </is>
      </c>
      <c r="F200" s="16" t="n">
        <v>1137.84</v>
      </c>
      <c r="G200" s="16" t="inlineStr">
        <is>
          <t>lab.store@jcb.com</t>
        </is>
      </c>
      <c r="H200" s="16" t="n"/>
    </row>
    <row r="201" ht="15" customHeight="1" s="13">
      <c r="A201" s="20" t="n">
        <v>45933</v>
      </c>
      <c r="B201" s="16" t="inlineStr">
        <is>
          <t>7216/0074</t>
        </is>
      </c>
      <c r="C201" s="16" t="inlineStr">
        <is>
          <t>RECEIPT</t>
        </is>
      </c>
      <c r="D201" s="16" t="n">
        <v>14</v>
      </c>
      <c r="E201" s="16" t="inlineStr">
        <is>
          <t>1310012168</t>
        </is>
      </c>
      <c r="F201" s="16" t="n">
        <v>136.89</v>
      </c>
      <c r="G201" s="16" t="inlineStr">
        <is>
          <t>lab.store@jcb.com</t>
        </is>
      </c>
      <c r="H201" s="16" t="n"/>
    </row>
    <row r="202" ht="15" customHeight="1" s="13">
      <c r="A202" s="20" t="n">
        <v>45933</v>
      </c>
      <c r="B202" s="16" t="inlineStr">
        <is>
          <t>7213/0032</t>
        </is>
      </c>
      <c r="C202" s="16" t="inlineStr">
        <is>
          <t>RECEIPT</t>
        </is>
      </c>
      <c r="D202" s="16" t="n">
        <v>7</v>
      </c>
      <c r="E202" s="16" t="inlineStr">
        <is>
          <t>1310012168</t>
        </is>
      </c>
      <c r="F202" s="16" t="n">
        <v>128.37</v>
      </c>
      <c r="G202" s="16" t="inlineStr">
        <is>
          <t>lab.store@jcb.com</t>
        </is>
      </c>
      <c r="H202" s="16" t="n"/>
    </row>
    <row r="203" ht="15" customHeight="1" s="13">
      <c r="A203" s="20" t="n">
        <v>45933</v>
      </c>
      <c r="B203" s="16" t="inlineStr">
        <is>
          <t>7218/0083</t>
        </is>
      </c>
      <c r="C203" s="16" t="inlineStr">
        <is>
          <t>RECEIPT</t>
        </is>
      </c>
      <c r="D203" s="16" t="n">
        <v>7</v>
      </c>
      <c r="E203" s="16" t="inlineStr">
        <is>
          <t>1310012168</t>
        </is>
      </c>
      <c r="F203" s="16" t="n">
        <v>71.90000000000001</v>
      </c>
      <c r="G203" s="16" t="inlineStr">
        <is>
          <t>lab.store@jcb.com</t>
        </is>
      </c>
      <c r="H203" s="16" t="n"/>
    </row>
    <row r="204" ht="15" customHeight="1" s="13">
      <c r="A204" s="20" t="n">
        <v>45933</v>
      </c>
      <c r="B204" s="16" t="inlineStr">
        <is>
          <t>7219/0157</t>
        </is>
      </c>
      <c r="C204" s="16" t="inlineStr">
        <is>
          <t>RECEIPT</t>
        </is>
      </c>
      <c r="D204" s="16" t="n">
        <v>7</v>
      </c>
      <c r="E204" s="16" t="inlineStr">
        <is>
          <t>1310012168</t>
        </is>
      </c>
      <c r="F204" s="16" t="n">
        <v>39.69</v>
      </c>
      <c r="G204" s="16" t="inlineStr">
        <is>
          <t>lab.store@jcb.com</t>
        </is>
      </c>
      <c r="H204" s="16" t="n"/>
    </row>
    <row r="205" ht="15" customHeight="1" s="13">
      <c r="A205" s="20" t="n">
        <v>45933</v>
      </c>
      <c r="B205" s="16" t="inlineStr">
        <is>
          <t>7219/0109</t>
        </is>
      </c>
      <c r="C205" s="16" t="inlineStr">
        <is>
          <t>RECEIPT</t>
        </is>
      </c>
      <c r="D205" s="16" t="n">
        <v>7</v>
      </c>
      <c r="E205" s="16" t="inlineStr">
        <is>
          <t>1310012168</t>
        </is>
      </c>
      <c r="F205" s="16" t="n">
        <v>68.92</v>
      </c>
      <c r="G205" s="16" t="inlineStr">
        <is>
          <t>lab.store@jcb.com</t>
        </is>
      </c>
      <c r="H205" s="16" t="n"/>
    </row>
    <row r="206" ht="15" customHeight="1" s="13">
      <c r="A206" s="20" t="n">
        <v>45933</v>
      </c>
      <c r="B206" s="16" t="inlineStr">
        <is>
          <t>7212/0113</t>
        </is>
      </c>
      <c r="C206" s="16" t="inlineStr">
        <is>
          <t>RECEIPT</t>
        </is>
      </c>
      <c r="D206" s="16" t="n">
        <v>21</v>
      </c>
      <c r="E206" s="16" t="inlineStr">
        <is>
          <t>1310012168</t>
        </is>
      </c>
      <c r="F206" s="16" t="n">
        <v>27.15</v>
      </c>
      <c r="G206" s="16" t="inlineStr">
        <is>
          <t>lab.store@jcb.com</t>
        </is>
      </c>
      <c r="H206" s="16" t="n"/>
    </row>
    <row r="207" ht="15" customHeight="1" s="13">
      <c r="A207" s="20" t="n">
        <v>45933</v>
      </c>
      <c r="B207" s="16" t="inlineStr">
        <is>
          <t>7213/0080</t>
        </is>
      </c>
      <c r="C207" s="16" t="inlineStr">
        <is>
          <t>RECEIPT</t>
        </is>
      </c>
      <c r="D207" s="16" t="n">
        <v>7</v>
      </c>
      <c r="E207" s="16" t="inlineStr">
        <is>
          <t>1310012168</t>
        </is>
      </c>
      <c r="F207" s="16" t="n">
        <v>115.31</v>
      </c>
      <c r="G207" s="16" t="inlineStr">
        <is>
          <t>lab.store@jcb.com</t>
        </is>
      </c>
      <c r="H207" s="16" t="n"/>
    </row>
    <row r="208" ht="15" customHeight="1" s="13">
      <c r="A208" s="20" t="n">
        <v>45933</v>
      </c>
      <c r="B208" s="16" t="inlineStr">
        <is>
          <t>7214/0034</t>
        </is>
      </c>
      <c r="C208" s="16" t="inlineStr">
        <is>
          <t>RECEIPT</t>
        </is>
      </c>
      <c r="D208" s="16" t="n">
        <v>7</v>
      </c>
      <c r="E208" s="16" t="inlineStr">
        <is>
          <t>1310012168</t>
        </is>
      </c>
      <c r="F208" s="16" t="n">
        <v>240.7</v>
      </c>
      <c r="G208" s="16" t="inlineStr">
        <is>
          <t>lab.store@jcb.com</t>
        </is>
      </c>
      <c r="H208" s="16" t="n"/>
    </row>
    <row r="209" ht="15" customHeight="1" s="13">
      <c r="A209" s="20" t="n">
        <v>45933</v>
      </c>
      <c r="B209" s="16" t="inlineStr">
        <is>
          <t>7218/0087</t>
        </is>
      </c>
      <c r="C209" s="16" t="inlineStr">
        <is>
          <t>RECEIPT</t>
        </is>
      </c>
      <c r="D209" s="16" t="n">
        <v>7</v>
      </c>
      <c r="E209" s="16" t="inlineStr">
        <is>
          <t>1310012168</t>
        </is>
      </c>
      <c r="F209" s="16" t="n">
        <v>132.74</v>
      </c>
      <c r="G209" s="16" t="inlineStr">
        <is>
          <t>lab.store@jcb.com</t>
        </is>
      </c>
      <c r="H209" s="16" t="n"/>
    </row>
    <row r="210" ht="15" customHeight="1" s="13">
      <c r="A210" s="20" t="n">
        <v>45933</v>
      </c>
      <c r="B210" s="16" t="inlineStr">
        <is>
          <t>7212/0002</t>
        </is>
      </c>
      <c r="C210" s="16" t="inlineStr">
        <is>
          <t>RECEIPT</t>
        </is>
      </c>
      <c r="D210" s="16" t="n">
        <v>27</v>
      </c>
      <c r="E210" s="16" t="inlineStr">
        <is>
          <t>1310012168</t>
        </is>
      </c>
      <c r="F210" s="16" t="n">
        <v>10.77</v>
      </c>
      <c r="G210" s="16" t="inlineStr">
        <is>
          <t>lab.store@jcb.com</t>
        </is>
      </c>
      <c r="H210" s="16" t="n"/>
    </row>
    <row r="211" ht="15" customHeight="1" s="13">
      <c r="A211" s="20" t="n">
        <v>45933</v>
      </c>
      <c r="B211" s="16" t="inlineStr">
        <is>
          <t>7219/0272</t>
        </is>
      </c>
      <c r="C211" s="16" t="inlineStr">
        <is>
          <t>RECEIPT</t>
        </is>
      </c>
      <c r="D211" s="16" t="n">
        <v>15</v>
      </c>
      <c r="E211" s="16" t="inlineStr">
        <is>
          <t>1310012168</t>
        </is>
      </c>
      <c r="F211" s="16" t="n">
        <v>1365.78</v>
      </c>
      <c r="G211" s="16" t="inlineStr">
        <is>
          <t>lab.store@jcb.com</t>
        </is>
      </c>
      <c r="H211" s="16" t="n"/>
    </row>
    <row r="212" ht="15" customHeight="1" s="13">
      <c r="A212" s="20" t="n">
        <v>45933</v>
      </c>
      <c r="B212" s="16" t="inlineStr">
        <is>
          <t>7210/0052</t>
        </is>
      </c>
      <c r="C212" s="16" t="inlineStr">
        <is>
          <t>RECEIPT</t>
        </is>
      </c>
      <c r="D212" s="16" t="n">
        <v>150</v>
      </c>
      <c r="E212" s="16" t="inlineStr">
        <is>
          <t>1310012168</t>
        </is>
      </c>
      <c r="F212" s="16" t="n">
        <v>4.38</v>
      </c>
      <c r="G212" s="16" t="inlineStr">
        <is>
          <t>lab.store@jcb.com</t>
        </is>
      </c>
      <c r="H212" s="16" t="n"/>
    </row>
    <row r="213" ht="15" customHeight="1" s="13">
      <c r="A213" s="20" t="n">
        <v>45933</v>
      </c>
      <c r="B213" s="16" t="inlineStr">
        <is>
          <t>7243/0784</t>
        </is>
      </c>
      <c r="C213" s="16" t="inlineStr">
        <is>
          <t>RECEIPT</t>
        </is>
      </c>
      <c r="D213" s="16" t="n">
        <v>2</v>
      </c>
      <c r="E213" s="16" t="inlineStr">
        <is>
          <t>1310012168</t>
        </is>
      </c>
      <c r="F213" s="16" t="n">
        <v>88.98</v>
      </c>
      <c r="G213" s="16" t="inlineStr">
        <is>
          <t>lab.store@jcb.com</t>
        </is>
      </c>
      <c r="H213" s="16" t="n"/>
    </row>
    <row r="214" ht="15" customHeight="1" s="13">
      <c r="A214" s="20" t="n">
        <v>45933</v>
      </c>
      <c r="B214" s="16" t="inlineStr">
        <is>
          <t>7213/0024</t>
        </is>
      </c>
      <c r="C214" s="16" t="inlineStr">
        <is>
          <t>RECEIPT</t>
        </is>
      </c>
      <c r="D214" s="16" t="n">
        <v>10</v>
      </c>
      <c r="E214" s="16" t="inlineStr">
        <is>
          <t>1310012168</t>
        </is>
      </c>
      <c r="F214" s="16" t="n">
        <v>22.19</v>
      </c>
      <c r="G214" s="16" t="inlineStr">
        <is>
          <t>lab.store@jcb.com</t>
        </is>
      </c>
      <c r="H214" s="16" t="n"/>
    </row>
    <row r="215" ht="15" customHeight="1" s="13">
      <c r="A215" s="20" t="n">
        <v>45933</v>
      </c>
      <c r="B215" s="16" t="inlineStr">
        <is>
          <t>7216/0029</t>
        </is>
      </c>
      <c r="C215" s="16" t="inlineStr">
        <is>
          <t>RECEIPT</t>
        </is>
      </c>
      <c r="D215" s="16" t="n">
        <v>10</v>
      </c>
      <c r="E215" s="16" t="inlineStr">
        <is>
          <t>1310012168</t>
        </is>
      </c>
      <c r="F215" s="16" t="n">
        <v>70.62</v>
      </c>
      <c r="G215" s="16" t="inlineStr">
        <is>
          <t>lab.store@jcb.com</t>
        </is>
      </c>
      <c r="H215" s="16" t="n"/>
    </row>
    <row r="216" ht="15" customHeight="1" s="13">
      <c r="A216" s="20" t="n">
        <v>45933</v>
      </c>
      <c r="B216" s="16" t="inlineStr">
        <is>
          <t>7201/0095</t>
        </is>
      </c>
      <c r="C216" s="16" t="inlineStr">
        <is>
          <t>RECEIPT</t>
        </is>
      </c>
      <c r="D216" s="16" t="n">
        <v>30</v>
      </c>
      <c r="E216" s="16" t="inlineStr">
        <is>
          <t>1310012168</t>
        </is>
      </c>
      <c r="F216" s="16" t="n">
        <v>2.96</v>
      </c>
      <c r="G216" s="16" t="inlineStr">
        <is>
          <t>lab.store@jcb.com</t>
        </is>
      </c>
      <c r="H216" s="16" t="n"/>
    </row>
    <row r="217" ht="15" customHeight="1" s="13">
      <c r="A217" s="20" t="n">
        <v>45933</v>
      </c>
      <c r="B217" s="16" t="inlineStr">
        <is>
          <t>7219/0040</t>
        </is>
      </c>
      <c r="C217" s="16" t="inlineStr">
        <is>
          <t>RECEIPT</t>
        </is>
      </c>
      <c r="D217" s="16" t="n">
        <v>3</v>
      </c>
      <c r="E217" s="16" t="inlineStr">
        <is>
          <t>1310012168</t>
        </is>
      </c>
      <c r="F217" s="16" t="n">
        <v>560.27</v>
      </c>
      <c r="G217" s="16" t="inlineStr">
        <is>
          <t>lab.store@jcb.com</t>
        </is>
      </c>
      <c r="H217" s="16" t="n"/>
    </row>
    <row r="218" ht="15" customHeight="1" s="13">
      <c r="A218" s="20" t="n">
        <v>45933</v>
      </c>
      <c r="B218" s="16" t="inlineStr">
        <is>
          <t>7204/0028</t>
        </is>
      </c>
      <c r="C218" s="16" t="inlineStr">
        <is>
          <t>RECEIPT</t>
        </is>
      </c>
      <c r="D218" s="16" t="n">
        <v>50</v>
      </c>
      <c r="E218" s="16" t="inlineStr">
        <is>
          <t>1310012168</t>
        </is>
      </c>
      <c r="F218" s="16" t="n">
        <v>8.960000000000001</v>
      </c>
      <c r="G218" s="16" t="inlineStr">
        <is>
          <t>lab.store@jcb.com</t>
        </is>
      </c>
      <c r="H218" s="16" t="n"/>
    </row>
    <row r="219" ht="15" customHeight="1" s="13">
      <c r="A219" s="20" t="n">
        <v>45933</v>
      </c>
      <c r="B219" s="16" t="inlineStr">
        <is>
          <t>7243/0643</t>
        </is>
      </c>
      <c r="C219" s="16" t="inlineStr">
        <is>
          <t>RECEIPT</t>
        </is>
      </c>
      <c r="D219" s="16" t="n">
        <v>5</v>
      </c>
      <c r="E219" s="16" t="inlineStr">
        <is>
          <t>1310012168</t>
        </is>
      </c>
      <c r="F219" s="16" t="n">
        <v>426.28</v>
      </c>
      <c r="G219" s="16" t="inlineStr">
        <is>
          <t>lab.store@jcb.com</t>
        </is>
      </c>
      <c r="H219" s="16" t="n"/>
    </row>
    <row r="220" ht="15" customHeight="1" s="13">
      <c r="A220" s="20" t="n">
        <v>45933</v>
      </c>
      <c r="B220" s="16" t="inlineStr">
        <is>
          <t>7204/0029</t>
        </is>
      </c>
      <c r="C220" s="16" t="inlineStr">
        <is>
          <t>RECEIPT</t>
        </is>
      </c>
      <c r="D220" s="16" t="n">
        <v>150</v>
      </c>
      <c r="E220" s="16" t="inlineStr">
        <is>
          <t>1310012168</t>
        </is>
      </c>
      <c r="F220" s="16" t="n">
        <v>10.21</v>
      </c>
      <c r="G220" s="16" t="inlineStr">
        <is>
          <t>lab.store@jcb.com</t>
        </is>
      </c>
      <c r="H220" s="16" t="n"/>
    </row>
    <row r="221" ht="15" customHeight="1" s="13">
      <c r="A221" s="20" t="n">
        <v>45933</v>
      </c>
      <c r="B221" s="16" t="inlineStr">
        <is>
          <t>7210/0030</t>
        </is>
      </c>
      <c r="C221" s="16" t="inlineStr">
        <is>
          <t>RECEIPT</t>
        </is>
      </c>
      <c r="D221" s="16" t="n">
        <v>200</v>
      </c>
      <c r="E221" s="16" t="inlineStr">
        <is>
          <t>1310012168</t>
        </is>
      </c>
      <c r="F221" s="16" t="n">
        <v>2.94</v>
      </c>
      <c r="G221" s="16" t="inlineStr">
        <is>
          <t>lab.store@jcb.com</t>
        </is>
      </c>
      <c r="H221" s="16" t="n"/>
    </row>
    <row r="222" ht="15" customHeight="1" s="13">
      <c r="A222" s="20" t="n">
        <v>45933</v>
      </c>
      <c r="B222" s="16" t="inlineStr">
        <is>
          <t>727/00002</t>
        </is>
      </c>
      <c r="C222" s="16" t="inlineStr">
        <is>
          <t>RECEIPT</t>
        </is>
      </c>
      <c r="D222" s="16" t="n">
        <v>14</v>
      </c>
      <c r="E222" s="16" t="inlineStr">
        <is>
          <t>1310012168</t>
        </is>
      </c>
      <c r="F222" s="16" t="n">
        <v>254.86</v>
      </c>
      <c r="G222" s="16" t="inlineStr">
        <is>
          <t>lab.store@jcb.com</t>
        </is>
      </c>
      <c r="H222" s="16" t="n"/>
    </row>
    <row r="223" ht="15" customHeight="1" s="13">
      <c r="A223" s="20" t="n">
        <v>45933</v>
      </c>
      <c r="B223" s="16" t="inlineStr">
        <is>
          <t>7243/0002</t>
        </is>
      </c>
      <c r="C223" s="16" t="inlineStr">
        <is>
          <t>RECEIPT</t>
        </is>
      </c>
      <c r="D223" s="16" t="n">
        <v>14</v>
      </c>
      <c r="E223" s="16" t="inlineStr">
        <is>
          <t>1310012168</t>
        </is>
      </c>
      <c r="F223" s="16" t="n">
        <v>46.29</v>
      </c>
      <c r="G223" s="16" t="inlineStr">
        <is>
          <t>lab.store@jcb.com</t>
        </is>
      </c>
      <c r="H223" s="16" t="n"/>
    </row>
    <row r="224" ht="15" customHeight="1" s="13">
      <c r="A224" s="20" t="n">
        <v>45933</v>
      </c>
      <c r="B224" s="16" t="inlineStr">
        <is>
          <t>7243/0202</t>
        </is>
      </c>
      <c r="C224" s="16" t="inlineStr">
        <is>
          <t>RECEIPT</t>
        </is>
      </c>
      <c r="D224" s="16" t="n">
        <v>7</v>
      </c>
      <c r="E224" s="16" t="inlineStr">
        <is>
          <t>1310012168</t>
        </is>
      </c>
      <c r="F224" s="16" t="n">
        <v>113.07</v>
      </c>
      <c r="G224" s="16" t="inlineStr">
        <is>
          <t>lab.store@jcb.com</t>
        </is>
      </c>
      <c r="H224" s="16" t="n"/>
    </row>
    <row r="225" ht="15" customHeight="1" s="13">
      <c r="A225" s="20" t="n">
        <v>45933</v>
      </c>
      <c r="B225" s="16" t="inlineStr">
        <is>
          <t>7243/0203</t>
        </is>
      </c>
      <c r="C225" s="16" t="inlineStr">
        <is>
          <t>RECEIPT</t>
        </is>
      </c>
      <c r="D225" s="16" t="n">
        <v>7</v>
      </c>
      <c r="E225" s="16" t="inlineStr">
        <is>
          <t>1310012168</t>
        </is>
      </c>
      <c r="F225" s="16" t="n">
        <v>82.59</v>
      </c>
      <c r="G225" s="16" t="inlineStr">
        <is>
          <t>lab.store@jcb.com</t>
        </is>
      </c>
      <c r="H225" s="16" t="n"/>
    </row>
    <row r="226" ht="15" customHeight="1" s="13">
      <c r="A226" s="20" t="n">
        <v>45933</v>
      </c>
      <c r="B226" s="16" t="inlineStr">
        <is>
          <t>7212/0013</t>
        </is>
      </c>
      <c r="C226" s="16" t="inlineStr">
        <is>
          <t>RECEIPT</t>
        </is>
      </c>
      <c r="D226" s="16" t="n">
        <v>21</v>
      </c>
      <c r="E226" s="16" t="inlineStr">
        <is>
          <t>1310012168</t>
        </is>
      </c>
      <c r="F226" s="16" t="n">
        <v>28.11</v>
      </c>
      <c r="G226" s="16" t="inlineStr">
        <is>
          <t>lab.store@jcb.com</t>
        </is>
      </c>
      <c r="H226" s="16" t="n"/>
    </row>
    <row r="227" ht="15" customHeight="1" s="13">
      <c r="A227" s="20" t="n">
        <v>45933</v>
      </c>
      <c r="B227" s="16" t="inlineStr">
        <is>
          <t>7232/0024</t>
        </is>
      </c>
      <c r="C227" s="16" t="inlineStr">
        <is>
          <t>RECEIPT</t>
        </is>
      </c>
      <c r="D227" s="16" t="n">
        <v>7</v>
      </c>
      <c r="E227" s="16" t="inlineStr">
        <is>
          <t>1310012168</t>
        </is>
      </c>
      <c r="F227" s="16" t="n">
        <v>4</v>
      </c>
      <c r="G227" s="16" t="inlineStr">
        <is>
          <t>lab.store@jcb.com</t>
        </is>
      </c>
      <c r="H227" s="16" t="n"/>
    </row>
    <row r="228" ht="15" customHeight="1" s="13">
      <c r="A228" s="20" t="n">
        <v>45933</v>
      </c>
      <c r="B228" s="16" t="inlineStr">
        <is>
          <t>7213/0015</t>
        </is>
      </c>
      <c r="C228" s="16" t="inlineStr">
        <is>
          <t>RECEIPT</t>
        </is>
      </c>
      <c r="D228" s="16" t="n">
        <v>34</v>
      </c>
      <c r="E228" s="16" t="inlineStr">
        <is>
          <t>1310012168</t>
        </is>
      </c>
      <c r="F228" s="16" t="n">
        <v>59.81</v>
      </c>
      <c r="G228" s="16" t="inlineStr">
        <is>
          <t>lab.store@jcb.com</t>
        </is>
      </c>
      <c r="H228" s="16" t="n"/>
    </row>
    <row r="229" ht="15" customHeight="1" s="13">
      <c r="A229" s="20" t="n">
        <v>45933</v>
      </c>
      <c r="B229" s="16" t="inlineStr">
        <is>
          <t>7219/0098</t>
        </is>
      </c>
      <c r="C229" s="16" t="inlineStr">
        <is>
          <t>RECEIPT</t>
        </is>
      </c>
      <c r="D229" s="16" t="n">
        <v>7</v>
      </c>
      <c r="E229" s="16" t="inlineStr">
        <is>
          <t>1310012168</t>
        </is>
      </c>
      <c r="F229" s="16" t="n">
        <v>516.8099999999999</v>
      </c>
      <c r="G229" s="16" t="inlineStr">
        <is>
          <t>lab.store@jcb.com</t>
        </is>
      </c>
      <c r="H229" s="16" t="n"/>
    </row>
    <row r="230" ht="15" customHeight="1" s="13">
      <c r="A230" s="20" t="n">
        <v>45933</v>
      </c>
      <c r="B230" s="16" t="inlineStr">
        <is>
          <t>332/C8190</t>
        </is>
      </c>
      <c r="C230" s="16" t="inlineStr">
        <is>
          <t>RECEIPT</t>
        </is>
      </c>
      <c r="D230" s="16" t="n">
        <v>7</v>
      </c>
      <c r="E230" s="16" t="inlineStr">
        <is>
          <t>1310012168</t>
        </is>
      </c>
      <c r="F230" s="16" t="n">
        <v>128.94</v>
      </c>
      <c r="G230" s="16" t="inlineStr">
        <is>
          <t>lab.store@jcb.com</t>
        </is>
      </c>
      <c r="H230" s="16" t="n"/>
    </row>
    <row r="231" ht="15" customHeight="1" s="13">
      <c r="A231" s="20" t="n">
        <v>45933</v>
      </c>
      <c r="B231" s="16" t="inlineStr">
        <is>
          <t>7214/0001</t>
        </is>
      </c>
      <c r="C231" s="16" t="inlineStr">
        <is>
          <t>RECEIPT</t>
        </is>
      </c>
      <c r="D231" s="16" t="n">
        <v>21</v>
      </c>
      <c r="E231" s="16" t="inlineStr">
        <is>
          <t>1310012168</t>
        </is>
      </c>
      <c r="F231" s="16" t="n">
        <v>19.34</v>
      </c>
      <c r="G231" s="16" t="inlineStr">
        <is>
          <t>lab.store@jcb.com</t>
        </is>
      </c>
      <c r="H231" s="16" t="n"/>
    </row>
    <row r="232" ht="15" customHeight="1" s="13">
      <c r="A232" s="20" t="n">
        <v>45933</v>
      </c>
      <c r="B232" s="16" t="inlineStr">
        <is>
          <t>7216/0059</t>
        </is>
      </c>
      <c r="C232" s="16" t="inlineStr">
        <is>
          <t>RECEIPT</t>
        </is>
      </c>
      <c r="D232" s="16" t="n">
        <v>28</v>
      </c>
      <c r="E232" s="16" t="inlineStr">
        <is>
          <t>1310012168</t>
        </is>
      </c>
      <c r="F232" s="16" t="n">
        <v>60.75</v>
      </c>
      <c r="G232" s="16" t="inlineStr">
        <is>
          <t>lab.store@jcb.com</t>
        </is>
      </c>
      <c r="H232" s="16" t="n"/>
    </row>
    <row r="233" ht="15" customHeight="1" s="13">
      <c r="A233" s="20" t="n">
        <v>45933</v>
      </c>
      <c r="B233" s="16" t="inlineStr">
        <is>
          <t>7219/0016</t>
        </is>
      </c>
      <c r="C233" s="16" t="inlineStr">
        <is>
          <t>RECEIPT</t>
        </is>
      </c>
      <c r="D233" s="16" t="n">
        <v>7</v>
      </c>
      <c r="E233" s="16" t="inlineStr">
        <is>
          <t>1310012168</t>
        </is>
      </c>
      <c r="F233" s="16" t="n">
        <v>298.04</v>
      </c>
      <c r="G233" s="16" t="inlineStr">
        <is>
          <t>lab.store@jcb.com</t>
        </is>
      </c>
      <c r="H233" s="16" t="n"/>
    </row>
    <row r="234" ht="15" customHeight="1" s="13">
      <c r="A234" s="20" t="n">
        <v>45933</v>
      </c>
      <c r="B234" s="16" t="inlineStr">
        <is>
          <t>7219/0159</t>
        </is>
      </c>
      <c r="C234" s="16" t="inlineStr">
        <is>
          <t>RECEIPT</t>
        </is>
      </c>
      <c r="D234" s="16" t="n">
        <v>7</v>
      </c>
      <c r="E234" s="16" t="inlineStr">
        <is>
          <t>1310012168</t>
        </is>
      </c>
      <c r="F234" s="16" t="n">
        <v>97.27</v>
      </c>
      <c r="G234" s="16" t="inlineStr">
        <is>
          <t>lab.store@jcb.com</t>
        </is>
      </c>
      <c r="H234" s="16" t="n"/>
    </row>
    <row r="235" ht="15" customHeight="1" s="13">
      <c r="A235" s="20" t="n">
        <v>45933</v>
      </c>
      <c r="B235" s="16" t="inlineStr">
        <is>
          <t>7219/0158</t>
        </is>
      </c>
      <c r="C235" s="16" t="inlineStr">
        <is>
          <t>RECEIPT</t>
        </is>
      </c>
      <c r="D235" s="16" t="n">
        <v>7</v>
      </c>
      <c r="E235" s="16" t="inlineStr">
        <is>
          <t>1310012168</t>
        </is>
      </c>
      <c r="F235" s="16" t="n">
        <v>160.14</v>
      </c>
      <c r="G235" s="16" t="inlineStr">
        <is>
          <t>lab.store@jcb.com</t>
        </is>
      </c>
      <c r="H235" s="16" t="n"/>
    </row>
    <row r="236" ht="15" customHeight="1" s="13">
      <c r="A236" s="20" t="n">
        <v>45933</v>
      </c>
      <c r="B236" s="16" t="inlineStr">
        <is>
          <t>7219/0326</t>
        </is>
      </c>
      <c r="C236" s="16" t="inlineStr">
        <is>
          <t>RECEIPT</t>
        </is>
      </c>
      <c r="D236" s="16" t="n">
        <v>7</v>
      </c>
      <c r="E236" s="16" t="inlineStr">
        <is>
          <t>1310012168</t>
        </is>
      </c>
      <c r="F236" s="16" t="n">
        <v>282.47</v>
      </c>
      <c r="G236" s="16" t="inlineStr">
        <is>
          <t>lab.store@jcb.com</t>
        </is>
      </c>
      <c r="H236" s="16" t="n"/>
    </row>
    <row r="237" ht="15" customHeight="1" s="13">
      <c r="A237" s="20" t="n">
        <v>45933</v>
      </c>
      <c r="B237" s="16" t="inlineStr">
        <is>
          <t>332/E3213</t>
        </is>
      </c>
      <c r="C237" s="16" t="inlineStr">
        <is>
          <t>RECEIPT</t>
        </is>
      </c>
      <c r="D237" s="16" t="n">
        <v>14</v>
      </c>
      <c r="E237" s="16" t="inlineStr">
        <is>
          <t>1310012168</t>
        </is>
      </c>
      <c r="F237" s="16" t="n">
        <v>136.14</v>
      </c>
      <c r="G237" s="16" t="inlineStr">
        <is>
          <t>lab.store@jcb.com</t>
        </is>
      </c>
      <c r="H237" s="16" t="n"/>
    </row>
    <row r="238" ht="15" customHeight="1" s="13">
      <c r="A238" s="20" t="n">
        <v>45933</v>
      </c>
      <c r="B238" s="16" t="inlineStr">
        <is>
          <t>7201/0403</t>
        </is>
      </c>
      <c r="C238" s="16" t="inlineStr">
        <is>
          <t>RECEIPT</t>
        </is>
      </c>
      <c r="D238" s="16" t="n">
        <v>7</v>
      </c>
      <c r="E238" s="16" t="inlineStr">
        <is>
          <t>1310012168</t>
        </is>
      </c>
      <c r="F238" s="16" t="n">
        <v>1.62</v>
      </c>
      <c r="G238" s="16" t="inlineStr">
        <is>
          <t>lab.store@jcb.com</t>
        </is>
      </c>
      <c r="H238" s="16" t="n"/>
    </row>
    <row r="239" ht="15" customHeight="1" s="13">
      <c r="A239" s="20" t="n">
        <v>45933</v>
      </c>
      <c r="B239" s="16" t="inlineStr">
        <is>
          <t>7204/0408</t>
        </is>
      </c>
      <c r="C239" s="16" t="inlineStr">
        <is>
          <t>RECEIPT</t>
        </is>
      </c>
      <c r="D239" s="16" t="n">
        <v>14</v>
      </c>
      <c r="E239" s="16" t="inlineStr">
        <is>
          <t>1310012168</t>
        </is>
      </c>
      <c r="F239" s="16" t="n">
        <v>4.14</v>
      </c>
      <c r="G239" s="16" t="inlineStr">
        <is>
          <t>lab.store@jcb.com</t>
        </is>
      </c>
      <c r="H239" s="16" t="n"/>
    </row>
    <row r="240" ht="15" customHeight="1" s="13">
      <c r="A240" s="20" t="n">
        <v>45933</v>
      </c>
      <c r="B240" s="16" t="inlineStr">
        <is>
          <t>7201/0469</t>
        </is>
      </c>
      <c r="C240" s="16" t="inlineStr">
        <is>
          <t>RECEIPT</t>
        </is>
      </c>
      <c r="D240" s="16" t="n">
        <v>25</v>
      </c>
      <c r="E240" s="16" t="inlineStr">
        <is>
          <t>1310012169</t>
        </is>
      </c>
      <c r="F240" s="16" t="n">
        <v>6.15</v>
      </c>
      <c r="G240" s="16" t="inlineStr">
        <is>
          <t>lab.store@jcb.com</t>
        </is>
      </c>
      <c r="H240" s="16" t="n"/>
    </row>
    <row r="241" ht="15" customHeight="1" s="13">
      <c r="A241" s="20" t="n">
        <v>45933</v>
      </c>
      <c r="B241" s="16" t="inlineStr">
        <is>
          <t>7201/0465</t>
        </is>
      </c>
      <c r="C241" s="16" t="inlineStr">
        <is>
          <t>RECEIPT</t>
        </is>
      </c>
      <c r="D241" s="16" t="n">
        <v>5</v>
      </c>
      <c r="E241" s="16" t="inlineStr">
        <is>
          <t>1310012169</t>
        </is>
      </c>
      <c r="F241" s="16" t="n">
        <v>93.75</v>
      </c>
      <c r="G241" s="16" t="inlineStr">
        <is>
          <t>lab.store@jcb.com</t>
        </is>
      </c>
      <c r="H241" s="16" t="n"/>
    </row>
    <row r="242" ht="15" customHeight="1" s="13">
      <c r="A242" s="20" t="n">
        <v>45933</v>
      </c>
      <c r="B242" s="16" t="inlineStr">
        <is>
          <t>7201/0451</t>
        </is>
      </c>
      <c r="C242" s="16" t="inlineStr">
        <is>
          <t>RECEIPT</t>
        </is>
      </c>
      <c r="D242" s="16" t="n">
        <v>125</v>
      </c>
      <c r="E242" s="16" t="inlineStr">
        <is>
          <t>1310012169</t>
        </is>
      </c>
      <c r="F242" s="16" t="n">
        <v>4.61</v>
      </c>
      <c r="G242" s="16" t="inlineStr">
        <is>
          <t>lab.store@jcb.com</t>
        </is>
      </c>
      <c r="H242" s="16" t="n"/>
    </row>
    <row r="243" ht="15" customHeight="1" s="13">
      <c r="A243" s="20" t="n">
        <v>45933</v>
      </c>
      <c r="B243" s="16" t="inlineStr">
        <is>
          <t>7201/0155</t>
        </is>
      </c>
      <c r="C243" s="16" t="inlineStr">
        <is>
          <t>RECEIPT</t>
        </is>
      </c>
      <c r="D243" s="16" t="n">
        <v>110</v>
      </c>
      <c r="E243" s="16" t="inlineStr">
        <is>
          <t>1310012169</t>
        </is>
      </c>
      <c r="F243" s="16" t="n">
        <v>4.61</v>
      </c>
      <c r="G243" s="16" t="inlineStr">
        <is>
          <t>lab.store@jcb.com</t>
        </is>
      </c>
      <c r="H243" s="16" t="n"/>
    </row>
    <row r="244" ht="15" customHeight="1" s="13">
      <c r="A244" s="20" t="n">
        <v>45933</v>
      </c>
      <c r="B244" s="16" t="inlineStr">
        <is>
          <t>716/30355</t>
        </is>
      </c>
      <c r="C244" s="16" t="inlineStr">
        <is>
          <t>RECEIPT</t>
        </is>
      </c>
      <c r="D244" s="16" t="n">
        <v>5</v>
      </c>
      <c r="E244" s="16" t="inlineStr">
        <is>
          <t>1310012169</t>
        </is>
      </c>
      <c r="F244" s="16" t="n">
        <v>2.15</v>
      </c>
      <c r="G244" s="16" t="inlineStr">
        <is>
          <t>lab.store@jcb.com</t>
        </is>
      </c>
      <c r="H244" s="16" t="n"/>
    </row>
    <row r="245" ht="15" customHeight="1" s="13">
      <c r="A245" s="20" t="n">
        <v>45933</v>
      </c>
      <c r="B245" s="16" t="inlineStr">
        <is>
          <t>716/30354</t>
        </is>
      </c>
      <c r="C245" s="16" t="inlineStr">
        <is>
          <t>RECEIPT</t>
        </is>
      </c>
      <c r="D245" s="16" t="n">
        <v>40</v>
      </c>
      <c r="E245" s="16" t="inlineStr">
        <is>
          <t>1310012169</t>
        </is>
      </c>
      <c r="F245" s="16" t="n">
        <v>2.15</v>
      </c>
      <c r="G245" s="16" t="inlineStr">
        <is>
          <t>lab.store@jcb.com</t>
        </is>
      </c>
      <c r="H245" s="16" t="n"/>
    </row>
    <row r="246" ht="15" customHeight="1" s="13">
      <c r="A246" s="20" t="n">
        <v>45933</v>
      </c>
      <c r="B246" s="16" t="inlineStr">
        <is>
          <t>716/30353</t>
        </is>
      </c>
      <c r="C246" s="16" t="inlineStr">
        <is>
          <t>RECEIPT</t>
        </is>
      </c>
      <c r="D246" s="16" t="n">
        <v>30</v>
      </c>
      <c r="E246" s="16" t="inlineStr">
        <is>
          <t>1310012169</t>
        </is>
      </c>
      <c r="F246" s="16" t="n">
        <v>2.15</v>
      </c>
      <c r="G246" s="16" t="inlineStr">
        <is>
          <t>lab.store@jcb.com</t>
        </is>
      </c>
      <c r="H246" s="16" t="n"/>
    </row>
    <row r="247" ht="15" customHeight="1" s="13">
      <c r="A247" s="20" t="n">
        <v>45933</v>
      </c>
      <c r="B247" s="16" t="inlineStr">
        <is>
          <t>716/30352</t>
        </is>
      </c>
      <c r="C247" s="16" t="inlineStr">
        <is>
          <t>RECEIPT</t>
        </is>
      </c>
      <c r="D247" s="16" t="n">
        <v>10</v>
      </c>
      <c r="E247" s="16" t="inlineStr">
        <is>
          <t>1310012169</t>
        </is>
      </c>
      <c r="F247" s="16" t="n">
        <v>2.15</v>
      </c>
      <c r="G247" s="16" t="inlineStr">
        <is>
          <t>lab.store@jcb.com</t>
        </is>
      </c>
      <c r="H247" s="16" t="n"/>
    </row>
    <row r="248" ht="15" customHeight="1" s="13">
      <c r="A248" s="20" t="n">
        <v>45933</v>
      </c>
      <c r="B248" s="16" t="inlineStr">
        <is>
          <t>716/30351</t>
        </is>
      </c>
      <c r="C248" s="16" t="inlineStr">
        <is>
          <t>RECEIPT</t>
        </is>
      </c>
      <c r="D248" s="16" t="n">
        <v>20</v>
      </c>
      <c r="E248" s="16" t="inlineStr">
        <is>
          <t>1310012169</t>
        </is>
      </c>
      <c r="F248" s="16" t="n">
        <v>2.15</v>
      </c>
      <c r="G248" s="16" t="inlineStr">
        <is>
          <t>lab.store@jcb.com</t>
        </is>
      </c>
      <c r="H248" s="16" t="n"/>
    </row>
    <row r="249" ht="15" customHeight="1" s="13">
      <c r="A249" s="20" t="n">
        <v>45933</v>
      </c>
      <c r="B249" s="16" t="inlineStr">
        <is>
          <t>716/30350</t>
        </is>
      </c>
      <c r="C249" s="16" t="inlineStr">
        <is>
          <t>RECEIPT</t>
        </is>
      </c>
      <c r="D249" s="16" t="n">
        <v>15</v>
      </c>
      <c r="E249" s="16" t="inlineStr">
        <is>
          <t>1310012169</t>
        </is>
      </c>
      <c r="F249" s="16" t="n">
        <v>7.41</v>
      </c>
      <c r="G249" s="16" t="inlineStr">
        <is>
          <t>lab.store@jcb.com</t>
        </is>
      </c>
      <c r="H249" s="16" t="n"/>
    </row>
    <row r="250" ht="15" customHeight="1" s="13">
      <c r="A250" s="20" t="n">
        <v>45933</v>
      </c>
      <c r="B250" s="16" t="inlineStr">
        <is>
          <t>7219/0013</t>
        </is>
      </c>
      <c r="C250" s="16" t="inlineStr">
        <is>
          <t>RECEIPT</t>
        </is>
      </c>
      <c r="D250" s="16" t="n">
        <v>25</v>
      </c>
      <c r="E250" s="16" t="inlineStr">
        <is>
          <t>1310012169</t>
        </is>
      </c>
      <c r="F250" s="16" t="n">
        <v>11.48</v>
      </c>
      <c r="G250" s="16" t="inlineStr">
        <is>
          <t>lab.store@jcb.com</t>
        </is>
      </c>
      <c r="H250" s="16" t="n"/>
    </row>
    <row r="251" ht="15" customHeight="1" s="13">
      <c r="A251" s="20" t="n">
        <v>45933</v>
      </c>
      <c r="B251" s="16" t="inlineStr">
        <is>
          <t>7219/0014</t>
        </is>
      </c>
      <c r="C251" s="16" t="inlineStr">
        <is>
          <t>RECEIPT</t>
        </is>
      </c>
      <c r="D251" s="16" t="n">
        <v>5</v>
      </c>
      <c r="E251" s="16" t="inlineStr">
        <is>
          <t>1310012169</t>
        </is>
      </c>
      <c r="F251" s="16" t="n">
        <v>53.54</v>
      </c>
      <c r="G251" s="16" t="inlineStr">
        <is>
          <t>lab.store@jcb.com</t>
        </is>
      </c>
      <c r="H251" s="16" t="n"/>
    </row>
    <row r="252" ht="15" customHeight="1" s="13">
      <c r="A252" s="20" t="n">
        <v>45933</v>
      </c>
      <c r="B252" s="16" t="inlineStr">
        <is>
          <t>7236/0003</t>
        </is>
      </c>
      <c r="C252" s="16" t="inlineStr">
        <is>
          <t>RECEIPT</t>
        </is>
      </c>
      <c r="D252" s="16" t="n">
        <v>5</v>
      </c>
      <c r="E252" s="16" t="inlineStr">
        <is>
          <t>1310012169</t>
        </is>
      </c>
      <c r="F252" s="16" t="n">
        <v>59.58</v>
      </c>
      <c r="G252" s="16" t="inlineStr">
        <is>
          <t>lab.store@jcb.com</t>
        </is>
      </c>
      <c r="H252" s="16" t="n"/>
    </row>
    <row r="253" ht="15" customHeight="1" s="13">
      <c r="A253" s="20" t="n">
        <v>45933</v>
      </c>
      <c r="B253" s="16" t="inlineStr">
        <is>
          <t>7234/0003</t>
        </is>
      </c>
      <c r="C253" s="16" t="inlineStr">
        <is>
          <t>RECEIPT</t>
        </is>
      </c>
      <c r="D253" s="16" t="n">
        <v>5</v>
      </c>
      <c r="E253" s="16" t="inlineStr">
        <is>
          <t>1310012169</t>
        </is>
      </c>
      <c r="F253" s="16" t="n">
        <v>59.58</v>
      </c>
      <c r="G253" s="16" t="inlineStr">
        <is>
          <t>lab.store@jcb.com</t>
        </is>
      </c>
      <c r="H253" s="16" t="n"/>
    </row>
    <row r="254" ht="15" customHeight="1" s="13">
      <c r="A254" s="20" t="n">
        <v>45933</v>
      </c>
      <c r="B254" s="16" t="inlineStr">
        <is>
          <t>7239/0031</t>
        </is>
      </c>
      <c r="C254" s="16" t="inlineStr">
        <is>
          <t>RECEIPT</t>
        </is>
      </c>
      <c r="D254" s="16" t="n">
        <v>5</v>
      </c>
      <c r="E254" s="16" t="inlineStr">
        <is>
          <t>1310012169</t>
        </is>
      </c>
      <c r="F254" s="16" t="n">
        <v>154.78</v>
      </c>
      <c r="G254" s="16" t="inlineStr">
        <is>
          <t>lab.store@jcb.com</t>
        </is>
      </c>
      <c r="H254" s="16" t="n"/>
    </row>
    <row r="255" ht="15" customHeight="1" s="13">
      <c r="A255" s="20" t="n">
        <v>45933</v>
      </c>
      <c r="B255" s="16" t="inlineStr">
        <is>
          <t>7239/0058</t>
        </is>
      </c>
      <c r="C255" s="16" t="inlineStr">
        <is>
          <t>RECEIPT</t>
        </is>
      </c>
      <c r="D255" s="16" t="n">
        <v>21</v>
      </c>
      <c r="E255" s="16" t="inlineStr">
        <is>
          <t>1310012169</t>
        </is>
      </c>
      <c r="F255" s="16" t="n">
        <v>119.17</v>
      </c>
      <c r="G255" s="16" t="inlineStr">
        <is>
          <t>lab.store@jcb.com</t>
        </is>
      </c>
      <c r="H255" s="16" t="n"/>
    </row>
    <row r="256" ht="15" customHeight="1" s="13">
      <c r="A256" s="20" t="n">
        <v>45933</v>
      </c>
      <c r="B256" s="16" t="inlineStr">
        <is>
          <t>7239/0059</t>
        </is>
      </c>
      <c r="C256" s="16" t="inlineStr">
        <is>
          <t>RECEIPT</t>
        </is>
      </c>
      <c r="D256" s="16" t="n">
        <v>21</v>
      </c>
      <c r="E256" s="16" t="inlineStr">
        <is>
          <t>1310012169</t>
        </is>
      </c>
      <c r="F256" s="16" t="n">
        <v>129.86</v>
      </c>
      <c r="G256" s="16" t="inlineStr">
        <is>
          <t>lab.store@jcb.com</t>
        </is>
      </c>
      <c r="H256" s="16" t="n"/>
    </row>
    <row r="257" ht="15" customHeight="1" s="13">
      <c r="A257" s="20" t="n">
        <v>45933</v>
      </c>
      <c r="B257" s="16" t="inlineStr">
        <is>
          <t>7212/0031</t>
        </is>
      </c>
      <c r="C257" s="16" t="inlineStr">
        <is>
          <t>RECEIPT</t>
        </is>
      </c>
      <c r="D257" s="16" t="n">
        <v>85</v>
      </c>
      <c r="E257" s="16" t="inlineStr">
        <is>
          <t>1310012169</t>
        </is>
      </c>
      <c r="F257" s="16" t="n">
        <v>4.54</v>
      </c>
      <c r="G257" s="16" t="inlineStr">
        <is>
          <t>lab.store@jcb.com</t>
        </is>
      </c>
      <c r="H257" s="16" t="n"/>
    </row>
    <row r="258" ht="15" customHeight="1" s="13">
      <c r="A258" s="20" t="n">
        <v>45933</v>
      </c>
      <c r="B258" s="16" t="inlineStr">
        <is>
          <t>7201/0105</t>
        </is>
      </c>
      <c r="C258" s="16" t="inlineStr">
        <is>
          <t>RECEIPT</t>
        </is>
      </c>
      <c r="D258" s="16" t="n">
        <v>390</v>
      </c>
      <c r="E258" s="16" t="inlineStr">
        <is>
          <t>1310012169</t>
        </is>
      </c>
      <c r="F258" s="16" t="n">
        <v>12.98</v>
      </c>
      <c r="G258" s="16" t="inlineStr">
        <is>
          <t>lab.store@jcb.com</t>
        </is>
      </c>
      <c r="H258" s="16" t="n"/>
    </row>
    <row r="259" ht="15" customHeight="1" s="13">
      <c r="A259" s="20" t="n">
        <v>45933</v>
      </c>
      <c r="B259" s="16" t="inlineStr">
        <is>
          <t>7207/1419</t>
        </is>
      </c>
      <c r="C259" s="16" t="inlineStr">
        <is>
          <t>RECEIPT</t>
        </is>
      </c>
      <c r="D259" s="16" t="n">
        <v>50</v>
      </c>
      <c r="E259" s="16" t="inlineStr">
        <is>
          <t>1310012169</t>
        </is>
      </c>
      <c r="F259" s="16" t="n">
        <v>50.93</v>
      </c>
      <c r="G259" s="16" t="inlineStr">
        <is>
          <t>lab.store@jcb.com</t>
        </is>
      </c>
      <c r="H259" s="16" t="n"/>
    </row>
    <row r="260" ht="15" customHeight="1" s="13">
      <c r="A260" s="20" t="n">
        <v>45933</v>
      </c>
      <c r="B260" s="16" t="inlineStr">
        <is>
          <t>7212/0052</t>
        </is>
      </c>
      <c r="C260" s="16" t="inlineStr">
        <is>
          <t>RECEIPT</t>
        </is>
      </c>
      <c r="D260" s="16" t="n">
        <v>60</v>
      </c>
      <c r="E260" s="16" t="inlineStr">
        <is>
          <t>1310012169</t>
        </is>
      </c>
      <c r="F260" s="16" t="n">
        <v>66.65000000000001</v>
      </c>
      <c r="G260" s="16" t="inlineStr">
        <is>
          <t>lab.store@jcb.com</t>
        </is>
      </c>
      <c r="H260" s="16" t="n"/>
    </row>
    <row r="261" ht="15" customHeight="1" s="13">
      <c r="A261" s="20" t="n">
        <v>45933</v>
      </c>
      <c r="B261" s="16" t="inlineStr">
        <is>
          <t>7210/0224</t>
        </is>
      </c>
      <c r="C261" s="16" t="inlineStr">
        <is>
          <t>RECEIPT</t>
        </is>
      </c>
      <c r="D261" s="16" t="n">
        <v>10</v>
      </c>
      <c r="E261" s="16" t="inlineStr">
        <is>
          <t>1310012169</t>
        </is>
      </c>
      <c r="F261" s="16" t="n">
        <v>8.24</v>
      </c>
      <c r="G261" s="16" t="inlineStr">
        <is>
          <t>lab.store@jcb.com</t>
        </is>
      </c>
      <c r="H261" s="16" t="n"/>
    </row>
    <row r="262" ht="15" customHeight="1" s="13">
      <c r="A262" s="20" t="n">
        <v>45933</v>
      </c>
      <c r="B262" s="16" t="inlineStr">
        <is>
          <t>7201/0470</t>
        </is>
      </c>
      <c r="C262" s="16" t="inlineStr">
        <is>
          <t>RECEIPT</t>
        </is>
      </c>
      <c r="D262" s="16" t="n">
        <v>5</v>
      </c>
      <c r="E262" s="16" t="inlineStr">
        <is>
          <t>1310012169</t>
        </is>
      </c>
      <c r="F262" s="16" t="n">
        <v>15.36</v>
      </c>
      <c r="G262" s="16" t="inlineStr">
        <is>
          <t>lab.store@jcb.com</t>
        </is>
      </c>
      <c r="H262" s="16" t="n"/>
    </row>
    <row r="263" ht="15" customHeight="1" s="13">
      <c r="A263" s="20" t="n">
        <v>45933</v>
      </c>
      <c r="B263" s="16" t="inlineStr">
        <is>
          <t>7243/0361</t>
        </is>
      </c>
      <c r="C263" s="16" t="inlineStr">
        <is>
          <t>RECEIPT</t>
        </is>
      </c>
      <c r="D263" s="16" t="n">
        <v>20</v>
      </c>
      <c r="E263" s="16" t="inlineStr">
        <is>
          <t>1310012169</t>
        </is>
      </c>
      <c r="F263" s="16" t="n">
        <v>34.84</v>
      </c>
      <c r="G263" s="16" t="inlineStr">
        <is>
          <t>lab.store@jcb.com</t>
        </is>
      </c>
      <c r="H263" s="16" t="n"/>
    </row>
    <row r="264" ht="15" customHeight="1" s="13">
      <c r="A264" s="20" t="n">
        <v>45933</v>
      </c>
      <c r="B264" s="16" t="inlineStr">
        <is>
          <t>7212/0081</t>
        </is>
      </c>
      <c r="C264" s="16" t="inlineStr">
        <is>
          <t>RECEIPT</t>
        </is>
      </c>
      <c r="D264" s="16" t="n">
        <v>60</v>
      </c>
      <c r="E264" s="16" t="inlineStr">
        <is>
          <t>1310012169</t>
        </is>
      </c>
      <c r="F264" s="16" t="n">
        <v>45.45</v>
      </c>
      <c r="G264" s="16" t="inlineStr">
        <is>
          <t>lab.store@jcb.com</t>
        </is>
      </c>
      <c r="H264" s="16" t="n"/>
    </row>
    <row r="265" ht="15" customHeight="1" s="13">
      <c r="A265" s="20" t="n">
        <v>45933</v>
      </c>
      <c r="B265" s="16" t="inlineStr">
        <is>
          <t>7212/0044</t>
        </is>
      </c>
      <c r="C265" s="16" t="inlineStr">
        <is>
          <t>RECEIPT</t>
        </is>
      </c>
      <c r="D265" s="16" t="n">
        <v>5</v>
      </c>
      <c r="E265" s="16" t="inlineStr">
        <is>
          <t>1310012169</t>
        </is>
      </c>
      <c r="F265" s="16" t="n">
        <v>16.9</v>
      </c>
      <c r="G265" s="16" t="inlineStr">
        <is>
          <t>lab.store@jcb.com</t>
        </is>
      </c>
      <c r="H265" s="16" t="n"/>
    </row>
    <row r="266" ht="15" customHeight="1" s="13">
      <c r="A266" s="20" t="n">
        <v>45933</v>
      </c>
      <c r="B266" s="16" t="inlineStr">
        <is>
          <t>7210/0044</t>
        </is>
      </c>
      <c r="C266" s="16" t="inlineStr">
        <is>
          <t>RECEIPT</t>
        </is>
      </c>
      <c r="D266" s="16" t="n">
        <v>10</v>
      </c>
      <c r="E266" s="16" t="inlineStr">
        <is>
          <t>1310012169</t>
        </is>
      </c>
      <c r="F266" s="16" t="n">
        <v>1.54</v>
      </c>
      <c r="G266" s="16" t="inlineStr">
        <is>
          <t>lab.store@jcb.com</t>
        </is>
      </c>
      <c r="H266" s="16" t="n"/>
    </row>
    <row r="267" ht="15" customHeight="1" s="13">
      <c r="A267" s="20" t="n">
        <v>45933</v>
      </c>
      <c r="B267" s="16" t="inlineStr">
        <is>
          <t>7207/1514</t>
        </is>
      </c>
      <c r="C267" s="16" t="inlineStr">
        <is>
          <t>RECEIPT</t>
        </is>
      </c>
      <c r="D267" s="16" t="n">
        <v>10</v>
      </c>
      <c r="E267" s="16" t="inlineStr">
        <is>
          <t>1310012169</t>
        </is>
      </c>
      <c r="F267" s="16" t="n">
        <v>125.28</v>
      </c>
      <c r="G267" s="16" t="inlineStr">
        <is>
          <t>lab.store@jcb.com</t>
        </is>
      </c>
      <c r="H267" s="16" t="n"/>
    </row>
    <row r="268" ht="15" customHeight="1" s="13">
      <c r="A268" s="20" t="n">
        <v>45933</v>
      </c>
      <c r="B268" s="16" t="inlineStr">
        <is>
          <t>7207/1417</t>
        </is>
      </c>
      <c r="C268" s="16" t="inlineStr">
        <is>
          <t>RECEIPT</t>
        </is>
      </c>
      <c r="D268" s="16" t="n">
        <v>5</v>
      </c>
      <c r="E268" s="16" t="inlineStr">
        <is>
          <t>1310012169</t>
        </is>
      </c>
      <c r="F268" s="16" t="n">
        <v>44.31</v>
      </c>
      <c r="G268" s="16" t="inlineStr">
        <is>
          <t>lab.store@jcb.com</t>
        </is>
      </c>
      <c r="H268" s="16" t="n"/>
    </row>
    <row r="269" ht="15" customHeight="1" s="13">
      <c r="A269" s="20" t="n">
        <v>45933</v>
      </c>
      <c r="B269" s="16" t="inlineStr">
        <is>
          <t>7207/1302</t>
        </is>
      </c>
      <c r="C269" s="16" t="inlineStr">
        <is>
          <t>RECEIPT</t>
        </is>
      </c>
      <c r="D269" s="16" t="n">
        <v>5</v>
      </c>
      <c r="E269" s="16" t="inlineStr">
        <is>
          <t>1310012169</t>
        </is>
      </c>
      <c r="F269" s="16" t="n">
        <v>9.619999999999999</v>
      </c>
      <c r="G269" s="16" t="inlineStr">
        <is>
          <t>lab.store@jcb.com</t>
        </is>
      </c>
      <c r="H269" s="16" t="n"/>
    </row>
    <row r="270" ht="15" customHeight="1" s="13">
      <c r="A270" s="20" t="n">
        <v>45933</v>
      </c>
      <c r="B270" s="16" t="inlineStr">
        <is>
          <t>7201/0094</t>
        </is>
      </c>
      <c r="C270" s="16" t="inlineStr">
        <is>
          <t>RECEIPT</t>
        </is>
      </c>
      <c r="D270" s="16" t="n">
        <v>10</v>
      </c>
      <c r="E270" s="16" t="inlineStr">
        <is>
          <t>1310012169</t>
        </is>
      </c>
      <c r="F270" s="16" t="n">
        <v>3.07</v>
      </c>
      <c r="G270" s="16" t="inlineStr">
        <is>
          <t>lab.store@jcb.com</t>
        </is>
      </c>
      <c r="H270" s="16" t="n"/>
    </row>
    <row r="271" ht="15" customHeight="1" s="13">
      <c r="A271" s="20" t="n">
        <v>45933</v>
      </c>
      <c r="B271" s="16" t="inlineStr">
        <is>
          <t>7201/0069</t>
        </is>
      </c>
      <c r="C271" s="16" t="inlineStr">
        <is>
          <t>RECEIPT</t>
        </is>
      </c>
      <c r="D271" s="16" t="n">
        <v>110</v>
      </c>
      <c r="E271" s="16" t="inlineStr">
        <is>
          <t>1310012169</t>
        </is>
      </c>
      <c r="F271" s="16" t="n">
        <v>10.6</v>
      </c>
      <c r="G271" s="16" t="inlineStr">
        <is>
          <t>lab.store@jcb.com</t>
        </is>
      </c>
      <c r="H271" s="16" t="n"/>
    </row>
    <row r="272" ht="15" customHeight="1" s="13">
      <c r="A272" s="20" t="n">
        <v>45933</v>
      </c>
      <c r="B272" s="16" t="inlineStr">
        <is>
          <t>332/E0988</t>
        </is>
      </c>
      <c r="C272" s="16" t="inlineStr">
        <is>
          <t>RECEIPT</t>
        </is>
      </c>
      <c r="D272" s="16" t="n">
        <v>5</v>
      </c>
      <c r="E272" s="16" t="inlineStr">
        <is>
          <t>1310012169</t>
        </is>
      </c>
      <c r="F272" s="16" t="n">
        <v>12.64</v>
      </c>
      <c r="G272" s="16" t="inlineStr">
        <is>
          <t>lab.store@jcb.com</t>
        </is>
      </c>
      <c r="H272" s="16" t="n"/>
    </row>
    <row r="273" ht="15" customHeight="1" s="13">
      <c r="A273" s="20" t="n">
        <v>45933</v>
      </c>
      <c r="B273" s="16" t="inlineStr">
        <is>
          <t>7243/0460</t>
        </is>
      </c>
      <c r="C273" s="16" t="inlineStr">
        <is>
          <t>RECEIPT</t>
        </is>
      </c>
      <c r="D273" s="16" t="n">
        <v>15</v>
      </c>
      <c r="E273" s="16" t="inlineStr">
        <is>
          <t>1310012169</t>
        </is>
      </c>
      <c r="F273" s="16" t="n">
        <v>114.58</v>
      </c>
      <c r="G273" s="16" t="inlineStr">
        <is>
          <t>lab.store@jcb.com</t>
        </is>
      </c>
      <c r="H273" s="16" t="n"/>
    </row>
    <row r="274" ht="15" customHeight="1" s="13">
      <c r="A274" s="20" t="n">
        <v>45933</v>
      </c>
      <c r="B274" s="16" t="inlineStr">
        <is>
          <t>7243/0459</t>
        </is>
      </c>
      <c r="C274" s="16" t="inlineStr">
        <is>
          <t>RECEIPT</t>
        </is>
      </c>
      <c r="D274" s="16" t="n">
        <v>15</v>
      </c>
      <c r="E274" s="16" t="inlineStr">
        <is>
          <t>1310012169</t>
        </is>
      </c>
      <c r="F274" s="16" t="n">
        <v>259.72</v>
      </c>
      <c r="G274" s="16" t="inlineStr">
        <is>
          <t>lab.store@jcb.com</t>
        </is>
      </c>
      <c r="H274" s="16" t="n"/>
    </row>
    <row r="275" ht="15" customHeight="1" s="13">
      <c r="A275" s="20" t="n">
        <v>45933</v>
      </c>
      <c r="B275" s="16" t="inlineStr">
        <is>
          <t>7243/0427</t>
        </is>
      </c>
      <c r="C275" s="16" t="inlineStr">
        <is>
          <t>RECEIPT</t>
        </is>
      </c>
      <c r="D275" s="16" t="n">
        <v>15</v>
      </c>
      <c r="E275" s="16" t="inlineStr">
        <is>
          <t>1310012169</t>
        </is>
      </c>
      <c r="F275" s="16" t="n">
        <v>61.11</v>
      </c>
      <c r="G275" s="16" t="inlineStr">
        <is>
          <t>lab.store@jcb.com</t>
        </is>
      </c>
      <c r="H275" s="16" t="n"/>
    </row>
    <row r="276" ht="15" customHeight="1" s="13">
      <c r="A276" s="20" t="n">
        <v>45933</v>
      </c>
      <c r="B276" s="16" t="inlineStr">
        <is>
          <t>7201/0784</t>
        </is>
      </c>
      <c r="C276" s="16" t="inlineStr">
        <is>
          <t>RECEIPT</t>
        </is>
      </c>
      <c r="D276" s="16" t="n">
        <v>84</v>
      </c>
      <c r="E276" s="16" t="inlineStr">
        <is>
          <t>1310012169</t>
        </is>
      </c>
      <c r="F276" s="16" t="n">
        <v>10.69</v>
      </c>
      <c r="G276" s="16" t="inlineStr">
        <is>
          <t>lab.store@jcb.com</t>
        </is>
      </c>
      <c r="H276" s="16" t="n"/>
    </row>
    <row r="277" ht="15" customHeight="1" s="13">
      <c r="A277" s="20" t="n">
        <v>45933</v>
      </c>
      <c r="B277" s="16" t="inlineStr">
        <is>
          <t>7201/0785</t>
        </is>
      </c>
      <c r="C277" s="16" t="inlineStr">
        <is>
          <t>RECEIPT</t>
        </is>
      </c>
      <c r="D277" s="16" t="n">
        <v>42</v>
      </c>
      <c r="E277" s="16" t="inlineStr">
        <is>
          <t>1310012169</t>
        </is>
      </c>
      <c r="F277" s="16" t="n">
        <v>10.69</v>
      </c>
      <c r="G277" s="16" t="inlineStr">
        <is>
          <t>lab.store@jcb.com</t>
        </is>
      </c>
      <c r="H277" s="16" t="n"/>
    </row>
    <row r="278" ht="15" customHeight="1" s="13">
      <c r="A278" s="20" t="n">
        <v>45933</v>
      </c>
      <c r="B278" s="16" t="inlineStr">
        <is>
          <t>7201/0783</t>
        </is>
      </c>
      <c r="C278" s="16" t="inlineStr">
        <is>
          <t>RECEIPT</t>
        </is>
      </c>
      <c r="D278" s="16" t="n">
        <v>63</v>
      </c>
      <c r="E278" s="16" t="inlineStr">
        <is>
          <t>1310012169</t>
        </is>
      </c>
      <c r="F278" s="16" t="n">
        <v>11.54</v>
      </c>
      <c r="G278" s="16" t="inlineStr">
        <is>
          <t>lab.store@jcb.com</t>
        </is>
      </c>
      <c r="H278" s="16" t="n"/>
    </row>
    <row r="279" ht="15" customHeight="1" s="13">
      <c r="A279" s="20" t="n">
        <v>45933</v>
      </c>
      <c r="B279" s="16" t="inlineStr">
        <is>
          <t>7201/0782</t>
        </is>
      </c>
      <c r="C279" s="16" t="inlineStr">
        <is>
          <t>RECEIPT</t>
        </is>
      </c>
      <c r="D279" s="16" t="n">
        <v>5</v>
      </c>
      <c r="E279" s="16" t="inlineStr">
        <is>
          <t>1310012169</t>
        </is>
      </c>
      <c r="F279" s="16" t="n">
        <v>18.33</v>
      </c>
      <c r="G279" s="16" t="inlineStr">
        <is>
          <t>lab.store@jcb.com</t>
        </is>
      </c>
      <c r="H279" s="16" t="n"/>
    </row>
    <row r="280" ht="15" customHeight="1" s="13">
      <c r="A280" s="20" t="n">
        <v>45933</v>
      </c>
      <c r="B280" s="16" t="inlineStr">
        <is>
          <t>7201/0781</t>
        </is>
      </c>
      <c r="C280" s="16" t="inlineStr">
        <is>
          <t>RECEIPT</t>
        </is>
      </c>
      <c r="D280" s="16" t="n">
        <v>45</v>
      </c>
      <c r="E280" s="16" t="inlineStr">
        <is>
          <t>1310012169</t>
        </is>
      </c>
      <c r="F280" s="16" t="n">
        <v>10.69</v>
      </c>
      <c r="G280" s="16" t="inlineStr">
        <is>
          <t>lab.store@jcb.com</t>
        </is>
      </c>
      <c r="H280" s="16" t="n"/>
    </row>
    <row r="281" ht="15" customHeight="1" s="13">
      <c r="A281" s="20" t="n">
        <v>45933</v>
      </c>
      <c r="B281" s="16" t="inlineStr">
        <is>
          <t>7201/0780</t>
        </is>
      </c>
      <c r="C281" s="16" t="inlineStr">
        <is>
          <t>RECEIPT</t>
        </is>
      </c>
      <c r="D281" s="16" t="n">
        <v>120</v>
      </c>
      <c r="E281" s="16" t="inlineStr">
        <is>
          <t>1310012169</t>
        </is>
      </c>
      <c r="F281" s="16" t="n">
        <v>10.69</v>
      </c>
      <c r="G281" s="16" t="inlineStr">
        <is>
          <t>lab.store@jcb.com</t>
        </is>
      </c>
      <c r="H281" s="16" t="n"/>
    </row>
    <row r="282" ht="15" customHeight="1" s="13">
      <c r="A282" s="20" t="n">
        <v>45933</v>
      </c>
      <c r="B282" s="16" t="inlineStr">
        <is>
          <t>7201/0777</t>
        </is>
      </c>
      <c r="C282" s="16" t="inlineStr">
        <is>
          <t>RECEIPT</t>
        </is>
      </c>
      <c r="D282" s="16" t="n">
        <v>45</v>
      </c>
      <c r="E282" s="16" t="inlineStr">
        <is>
          <t>1310012169</t>
        </is>
      </c>
      <c r="F282" s="16" t="n">
        <v>7.64</v>
      </c>
      <c r="G282" s="16" t="inlineStr">
        <is>
          <t>lab.store@jcb.com</t>
        </is>
      </c>
      <c r="H282" s="16" t="n"/>
    </row>
    <row r="283" ht="15" customHeight="1" s="13">
      <c r="A283" s="20" t="n">
        <v>45933</v>
      </c>
      <c r="B283" s="16" t="inlineStr">
        <is>
          <t>7201/0776</t>
        </is>
      </c>
      <c r="C283" s="16" t="inlineStr">
        <is>
          <t>RECEIPT</t>
        </is>
      </c>
      <c r="D283" s="16" t="n">
        <v>273</v>
      </c>
      <c r="E283" s="16" t="inlineStr">
        <is>
          <t>1310012169</t>
        </is>
      </c>
      <c r="F283" s="16" t="n">
        <v>7.64</v>
      </c>
      <c r="G283" s="16" t="inlineStr">
        <is>
          <t>lab.store@jcb.com</t>
        </is>
      </c>
      <c r="H283" s="16" t="n"/>
    </row>
    <row r="284" ht="15" customHeight="1" s="13">
      <c r="A284" s="20" t="n">
        <v>45933</v>
      </c>
      <c r="B284" s="16" t="inlineStr">
        <is>
          <t>7201/0610</t>
        </is>
      </c>
      <c r="C284" s="16" t="inlineStr">
        <is>
          <t>RECEIPT</t>
        </is>
      </c>
      <c r="D284" s="16" t="n">
        <v>5</v>
      </c>
      <c r="E284" s="16" t="inlineStr">
        <is>
          <t>1310012169</t>
        </is>
      </c>
      <c r="F284" s="16" t="n">
        <v>10.6</v>
      </c>
      <c r="G284" s="16" t="inlineStr">
        <is>
          <t>lab.store@jcb.com</t>
        </is>
      </c>
      <c r="H284" s="16" t="n"/>
    </row>
    <row r="285" ht="15" customHeight="1" s="13">
      <c r="A285" s="20" t="n">
        <v>45933</v>
      </c>
      <c r="B285" s="16" t="inlineStr">
        <is>
          <t>7212/0003</t>
        </is>
      </c>
      <c r="C285" s="16" t="inlineStr">
        <is>
          <t>RECEIPT</t>
        </is>
      </c>
      <c r="D285" s="16" t="n">
        <v>100</v>
      </c>
      <c r="E285" s="16" t="inlineStr">
        <is>
          <t>1310012169</t>
        </is>
      </c>
      <c r="F285" s="16" t="n">
        <v>5.17</v>
      </c>
      <c r="G285" s="16" t="inlineStr">
        <is>
          <t>lab.store@jcb.com</t>
        </is>
      </c>
      <c r="H285" s="16" t="n"/>
    </row>
    <row r="286" ht="15" customHeight="1" s="13">
      <c r="A286" s="20" t="n">
        <v>45933</v>
      </c>
      <c r="B286" s="16" t="inlineStr">
        <is>
          <t>332/E9928</t>
        </is>
      </c>
      <c r="C286" s="16" t="inlineStr">
        <is>
          <t>RECEIPT</t>
        </is>
      </c>
      <c r="D286" s="16" t="n">
        <v>10</v>
      </c>
      <c r="E286" s="16" t="inlineStr">
        <is>
          <t>1310012169</t>
        </is>
      </c>
      <c r="F286" s="16" t="n">
        <v>18.86</v>
      </c>
      <c r="G286" s="16" t="inlineStr">
        <is>
          <t>lab.store@jcb.com</t>
        </is>
      </c>
      <c r="H286" s="16" t="n"/>
    </row>
    <row r="287" ht="15" customHeight="1" s="13">
      <c r="A287" s="20" t="n">
        <v>45933</v>
      </c>
      <c r="B287" s="16" t="inlineStr">
        <is>
          <t>7219/0005</t>
        </is>
      </c>
      <c r="C287" s="16" t="inlineStr">
        <is>
          <t>RECEIPT</t>
        </is>
      </c>
      <c r="D287" s="16" t="n">
        <v>25</v>
      </c>
      <c r="E287" s="16" t="inlineStr">
        <is>
          <t>1310012169</t>
        </is>
      </c>
      <c r="F287" s="16" t="n">
        <v>28.16</v>
      </c>
      <c r="G287" s="16" t="inlineStr">
        <is>
          <t>lab.store@jcb.com</t>
        </is>
      </c>
      <c r="H287" s="16" t="n"/>
    </row>
    <row r="288" ht="15" customHeight="1" s="13">
      <c r="A288" s="20" t="n">
        <v>45933</v>
      </c>
      <c r="B288" s="16" t="inlineStr">
        <is>
          <t>7210/0129</t>
        </is>
      </c>
      <c r="C288" s="16" t="inlineStr">
        <is>
          <t>RECEIPT</t>
        </is>
      </c>
      <c r="D288" s="16" t="n">
        <v>10</v>
      </c>
      <c r="E288" s="16" t="inlineStr">
        <is>
          <t>1310012169</t>
        </is>
      </c>
      <c r="F288" s="16" t="n">
        <v>4.15</v>
      </c>
      <c r="G288" s="16" t="inlineStr">
        <is>
          <t>lab.store@jcb.com</t>
        </is>
      </c>
      <c r="H288" s="16" t="n"/>
    </row>
    <row r="289" ht="15" customHeight="1" s="13">
      <c r="A289" s="20" t="n">
        <v>45933</v>
      </c>
      <c r="B289" s="16" t="inlineStr">
        <is>
          <t>7210/0003</t>
        </is>
      </c>
      <c r="C289" s="16" t="inlineStr">
        <is>
          <t>RECEIPT</t>
        </is>
      </c>
      <c r="D289" s="16" t="n">
        <v>40</v>
      </c>
      <c r="E289" s="16" t="inlineStr">
        <is>
          <t>1310012169</t>
        </is>
      </c>
      <c r="F289" s="16" t="n">
        <v>2.49</v>
      </c>
      <c r="G289" s="16" t="inlineStr">
        <is>
          <t>lab.store@jcb.com</t>
        </is>
      </c>
      <c r="H289" s="16" t="n"/>
    </row>
    <row r="290" ht="15" customHeight="1" s="13">
      <c r="A290" s="20" t="n">
        <v>45933</v>
      </c>
      <c r="B290" s="16" t="inlineStr">
        <is>
          <t>7204/0089</t>
        </is>
      </c>
      <c r="C290" s="16" t="inlineStr">
        <is>
          <t>RECEIPT</t>
        </is>
      </c>
      <c r="D290" s="16" t="n">
        <v>10</v>
      </c>
      <c r="E290" s="16" t="inlineStr">
        <is>
          <t>1310012169</t>
        </is>
      </c>
      <c r="F290" s="16" t="n">
        <v>3.9</v>
      </c>
      <c r="G290" s="16" t="inlineStr">
        <is>
          <t>lab.store@jcb.com</t>
        </is>
      </c>
      <c r="H290" s="16" t="n"/>
    </row>
    <row r="291" ht="15" customHeight="1" s="13">
      <c r="A291" s="20" t="n">
        <v>45933</v>
      </c>
      <c r="B291" s="16" t="inlineStr">
        <is>
          <t>7204/0088</t>
        </is>
      </c>
      <c r="C291" s="16" t="inlineStr">
        <is>
          <t>RECEIPT</t>
        </is>
      </c>
      <c r="D291" s="16" t="n">
        <v>10</v>
      </c>
      <c r="E291" s="16" t="inlineStr">
        <is>
          <t>1310012169</t>
        </is>
      </c>
      <c r="F291" s="16" t="n">
        <v>3.04</v>
      </c>
      <c r="G291" s="16" t="inlineStr">
        <is>
          <t>lab.store@jcb.com</t>
        </is>
      </c>
      <c r="H291" s="16" t="n"/>
    </row>
    <row r="292" ht="15" customHeight="1" s="13">
      <c r="A292" s="20" t="n">
        <v>45933</v>
      </c>
      <c r="B292" s="16" t="inlineStr">
        <is>
          <t>7204/0002</t>
        </is>
      </c>
      <c r="C292" s="16" t="inlineStr">
        <is>
          <t>RECEIPT</t>
        </is>
      </c>
      <c r="D292" s="16" t="n">
        <v>60</v>
      </c>
      <c r="E292" s="16" t="inlineStr">
        <is>
          <t>1310012169</t>
        </is>
      </c>
      <c r="F292" s="16" t="n">
        <v>3.16</v>
      </c>
      <c r="G292" s="16" t="inlineStr">
        <is>
          <t>lab.store@jcb.com</t>
        </is>
      </c>
      <c r="H292" s="16" t="n"/>
    </row>
    <row r="293" ht="15" customHeight="1" s="13">
      <c r="A293" s="20" t="n">
        <v>45933</v>
      </c>
      <c r="B293" s="16" t="inlineStr">
        <is>
          <t>7204/0001</t>
        </is>
      </c>
      <c r="C293" s="16" t="inlineStr">
        <is>
          <t>RECEIPT</t>
        </is>
      </c>
      <c r="D293" s="16" t="n">
        <v>200</v>
      </c>
      <c r="E293" s="16" t="inlineStr">
        <is>
          <t>1310012169</t>
        </is>
      </c>
      <c r="F293" s="16" t="n">
        <v>2.1</v>
      </c>
      <c r="G293" s="16" t="inlineStr">
        <is>
          <t>lab.store@jcb.com</t>
        </is>
      </c>
      <c r="H293" s="16" t="n"/>
    </row>
    <row r="294" ht="15" customHeight="1" s="13">
      <c r="A294" s="20" t="n">
        <v>45933</v>
      </c>
      <c r="B294" s="16" t="inlineStr">
        <is>
          <t>7201/1025</t>
        </is>
      </c>
      <c r="C294" s="16" t="inlineStr">
        <is>
          <t>RECEIPT</t>
        </is>
      </c>
      <c r="D294" s="16" t="n">
        <v>10</v>
      </c>
      <c r="E294" s="16" t="inlineStr">
        <is>
          <t>1310012169</t>
        </is>
      </c>
      <c r="F294" s="16" t="n">
        <v>2.05</v>
      </c>
      <c r="G294" s="16" t="inlineStr">
        <is>
          <t>lab.store@jcb.com</t>
        </is>
      </c>
      <c r="H294" s="16" t="n"/>
    </row>
    <row r="295" ht="15" customHeight="1" s="13">
      <c r="A295" s="20" t="n">
        <v>45933</v>
      </c>
      <c r="B295" s="16" t="inlineStr">
        <is>
          <t>7201/0683</t>
        </is>
      </c>
      <c r="C295" s="16" t="inlineStr">
        <is>
          <t>RECEIPT</t>
        </is>
      </c>
      <c r="D295" s="16" t="n">
        <v>30</v>
      </c>
      <c r="E295" s="16" t="inlineStr">
        <is>
          <t>1310012169</t>
        </is>
      </c>
      <c r="F295" s="16" t="n">
        <v>4</v>
      </c>
      <c r="G295" s="16" t="inlineStr">
        <is>
          <t>lab.store@jcb.com</t>
        </is>
      </c>
      <c r="H295" s="16" t="n"/>
    </row>
    <row r="296" ht="15" customHeight="1" s="13">
      <c r="A296" s="20" t="n">
        <v>45933</v>
      </c>
      <c r="B296" s="16" t="inlineStr">
        <is>
          <t>7201/0002</t>
        </is>
      </c>
      <c r="C296" s="16" t="inlineStr">
        <is>
          <t>RECEIPT</t>
        </is>
      </c>
      <c r="D296" s="16" t="n">
        <v>150</v>
      </c>
      <c r="E296" s="16" t="inlineStr">
        <is>
          <t>1310012169</t>
        </is>
      </c>
      <c r="F296" s="16" t="n">
        <v>3.62</v>
      </c>
      <c r="G296" s="16" t="inlineStr">
        <is>
          <t>lab.store@jcb.com</t>
        </is>
      </c>
      <c r="H296" s="16" t="n"/>
    </row>
    <row r="297" ht="15" customHeight="1" s="13">
      <c r="A297" s="20" t="n">
        <v>45933</v>
      </c>
      <c r="B297" s="16" t="inlineStr">
        <is>
          <t>7201/0001</t>
        </is>
      </c>
      <c r="C297" s="16" t="inlineStr">
        <is>
          <t>RECEIPT</t>
        </is>
      </c>
      <c r="D297" s="16" t="n">
        <v>600</v>
      </c>
      <c r="E297" s="16" t="inlineStr">
        <is>
          <t>1310012169</t>
        </is>
      </c>
      <c r="F297" s="16" t="n">
        <v>1.55</v>
      </c>
      <c r="G297" s="16" t="inlineStr">
        <is>
          <t>lab.store@jcb.com</t>
        </is>
      </c>
      <c r="H297" s="16" t="n"/>
    </row>
    <row r="298" ht="15" customHeight="1" s="13">
      <c r="A298" s="20" t="n">
        <v>45933</v>
      </c>
      <c r="B298" s="16" t="inlineStr">
        <is>
          <t>7212/0207</t>
        </is>
      </c>
      <c r="C298" s="16" t="inlineStr">
        <is>
          <t>RECEIPT</t>
        </is>
      </c>
      <c r="D298" s="16" t="n">
        <v>5</v>
      </c>
      <c r="E298" s="16" t="inlineStr">
        <is>
          <t>1310012169</t>
        </is>
      </c>
      <c r="F298" s="16" t="n">
        <v>1.2</v>
      </c>
      <c r="G298" s="16" t="inlineStr">
        <is>
          <t>lab.store@jcb.com</t>
        </is>
      </c>
      <c r="H298" s="16" t="n"/>
    </row>
    <row r="299" ht="15" customHeight="1" s="13">
      <c r="A299" s="20" t="n">
        <v>45933</v>
      </c>
      <c r="B299" s="16" t="inlineStr">
        <is>
          <t>7216/0051</t>
        </is>
      </c>
      <c r="C299" s="16" t="inlineStr">
        <is>
          <t>RECEIPT</t>
        </is>
      </c>
      <c r="D299" s="16" t="n">
        <v>20</v>
      </c>
      <c r="E299" s="16" t="inlineStr">
        <is>
          <t>1310012169</t>
        </is>
      </c>
      <c r="F299" s="16" t="n">
        <v>9.380000000000001</v>
      </c>
      <c r="G299" s="16" t="inlineStr">
        <is>
          <t>lab.store@jcb.com</t>
        </is>
      </c>
      <c r="H299" s="16" t="n"/>
    </row>
    <row r="300" ht="15" customHeight="1" s="13">
      <c r="A300" s="20" t="n">
        <v>45933</v>
      </c>
      <c r="B300" s="16" t="inlineStr">
        <is>
          <t>7213/0058</t>
        </is>
      </c>
      <c r="C300" s="16" t="inlineStr">
        <is>
          <t>RECEIPT</t>
        </is>
      </c>
      <c r="D300" s="16" t="n">
        <v>5</v>
      </c>
      <c r="E300" s="16" t="inlineStr">
        <is>
          <t>1310012169</t>
        </is>
      </c>
      <c r="F300" s="16" t="n">
        <v>39.35</v>
      </c>
      <c r="G300" s="16" t="inlineStr">
        <is>
          <t>lab.store@jcb.com</t>
        </is>
      </c>
      <c r="H300" s="16" t="n"/>
    </row>
    <row r="301" ht="15" customHeight="1" s="13">
      <c r="A301" s="20" t="n">
        <v>45933</v>
      </c>
      <c r="B301" s="16" t="inlineStr">
        <is>
          <t>7218/0002</t>
        </is>
      </c>
      <c r="C301" s="16" t="inlineStr">
        <is>
          <t>RECEIPT</t>
        </is>
      </c>
      <c r="D301" s="16" t="n">
        <v>5</v>
      </c>
      <c r="E301" s="16" t="inlineStr">
        <is>
          <t>1310012169</t>
        </is>
      </c>
      <c r="F301" s="16" t="n">
        <v>35.75</v>
      </c>
      <c r="G301" s="16" t="inlineStr">
        <is>
          <t>lab.store@jcb.com</t>
        </is>
      </c>
      <c r="H301" s="16" t="n"/>
    </row>
    <row r="302" ht="15" customHeight="1" s="13">
      <c r="A302" s="20" t="n">
        <v>45933</v>
      </c>
      <c r="B302" s="16" t="inlineStr">
        <is>
          <t>7250/0150</t>
        </is>
      </c>
      <c r="C302" s="16" t="inlineStr">
        <is>
          <t>RECEIPT</t>
        </is>
      </c>
      <c r="D302" s="16" t="n">
        <v>30</v>
      </c>
      <c r="E302" s="16" t="inlineStr">
        <is>
          <t>1310012169</t>
        </is>
      </c>
      <c r="F302" s="16" t="n">
        <v>3.96</v>
      </c>
      <c r="G302" s="16" t="inlineStr">
        <is>
          <t>lab.store@jcb.com</t>
        </is>
      </c>
      <c r="H302" s="16" t="n"/>
    </row>
    <row r="303" ht="15" customHeight="1" s="13">
      <c r="A303" s="20" t="n">
        <v>45933</v>
      </c>
      <c r="B303" s="16" t="inlineStr">
        <is>
          <t>7201/0687</t>
        </is>
      </c>
      <c r="C303" s="16" t="inlineStr">
        <is>
          <t>RECEIPT</t>
        </is>
      </c>
      <c r="D303" s="16" t="n">
        <v>10</v>
      </c>
      <c r="E303" s="16" t="inlineStr">
        <is>
          <t>1310012169</t>
        </is>
      </c>
      <c r="F303" s="16" t="n">
        <v>1.69</v>
      </c>
      <c r="G303" s="16" t="inlineStr">
        <is>
          <t>lab.store@jcb.com</t>
        </is>
      </c>
      <c r="H303" s="16" t="n"/>
    </row>
    <row r="304" ht="15" customHeight="1" s="13">
      <c r="A304" s="20" t="n">
        <v>45933</v>
      </c>
      <c r="B304" s="16" t="inlineStr">
        <is>
          <t>7210/0099</t>
        </is>
      </c>
      <c r="C304" s="16" t="inlineStr">
        <is>
          <t>RECEIPT</t>
        </is>
      </c>
      <c r="D304" s="16" t="n">
        <v>150</v>
      </c>
      <c r="E304" s="16" t="inlineStr">
        <is>
          <t>1310012169</t>
        </is>
      </c>
      <c r="F304" s="16" t="n">
        <v>0.59</v>
      </c>
      <c r="G304" s="16" t="inlineStr">
        <is>
          <t>lab.store@jcb.com</t>
        </is>
      </c>
      <c r="H304" s="16" t="n"/>
    </row>
    <row r="305" ht="15" customHeight="1" s="13">
      <c r="A305" s="20" t="n">
        <v>45933</v>
      </c>
      <c r="B305" s="16" t="inlineStr">
        <is>
          <t>7210/0001</t>
        </is>
      </c>
      <c r="C305" s="16" t="inlineStr">
        <is>
          <t>RECEIPT</t>
        </is>
      </c>
      <c r="D305" s="16" t="n">
        <v>165</v>
      </c>
      <c r="E305" s="16" t="inlineStr">
        <is>
          <t>1310012169</t>
        </is>
      </c>
      <c r="F305" s="16" t="n">
        <v>3.59</v>
      </c>
      <c r="G305" s="16" t="inlineStr">
        <is>
          <t>lab.store@jcb.com</t>
        </is>
      </c>
      <c r="H305" s="16" t="n"/>
    </row>
    <row r="306" ht="15" customHeight="1" s="13">
      <c r="A306" s="20" t="n">
        <v>45933</v>
      </c>
      <c r="B306" s="16" t="inlineStr">
        <is>
          <t>7210/0100</t>
        </is>
      </c>
      <c r="C306" s="16" t="inlineStr">
        <is>
          <t>RECEIPT</t>
        </is>
      </c>
      <c r="D306" s="16" t="n">
        <v>20</v>
      </c>
      <c r="E306" s="16" t="inlineStr">
        <is>
          <t>1310012169</t>
        </is>
      </c>
      <c r="F306" s="16" t="n">
        <v>3.28</v>
      </c>
      <c r="G306" s="16" t="inlineStr">
        <is>
          <t>lab.store@jcb.com</t>
        </is>
      </c>
      <c r="H306" s="16" t="n"/>
    </row>
    <row r="307" ht="15" customHeight="1" s="13">
      <c r="A307" s="20" t="n">
        <v>45933</v>
      </c>
      <c r="B307" s="16" t="inlineStr">
        <is>
          <t>7211/0025</t>
        </is>
      </c>
      <c r="C307" s="16" t="inlineStr">
        <is>
          <t>RECEIPT</t>
        </is>
      </c>
      <c r="D307" s="16" t="n">
        <v>5</v>
      </c>
      <c r="E307" s="16" t="inlineStr">
        <is>
          <t>1310012169</t>
        </is>
      </c>
      <c r="F307" s="16" t="n">
        <v>29.05</v>
      </c>
      <c r="G307" s="16" t="inlineStr">
        <is>
          <t>lab.store@jcb.com</t>
        </is>
      </c>
      <c r="H307" s="16" t="n"/>
    </row>
    <row r="308" ht="15" customHeight="1" s="13">
      <c r="A308" s="20" t="n">
        <v>45933</v>
      </c>
      <c r="B308" s="16" t="inlineStr">
        <is>
          <t>7212/0001</t>
        </is>
      </c>
      <c r="C308" s="16" t="inlineStr">
        <is>
          <t>RECEIPT</t>
        </is>
      </c>
      <c r="D308" s="16" t="n">
        <v>5</v>
      </c>
      <c r="E308" s="16" t="inlineStr">
        <is>
          <t>1310012169</t>
        </is>
      </c>
      <c r="F308" s="16" t="n">
        <v>20.3</v>
      </c>
      <c r="G308" s="16" t="inlineStr">
        <is>
          <t>lab.store@jcb.com</t>
        </is>
      </c>
      <c r="H308" s="16" t="n"/>
    </row>
    <row r="309" ht="15" customHeight="1" s="13">
      <c r="A309" s="20" t="n">
        <v>45933</v>
      </c>
      <c r="B309" s="16" t="inlineStr">
        <is>
          <t>7514/0010</t>
        </is>
      </c>
      <c r="C309" s="16" t="inlineStr">
        <is>
          <t>RECEIPT</t>
        </is>
      </c>
      <c r="D309" s="16" t="n">
        <v>10</v>
      </c>
      <c r="E309" s="16" t="inlineStr">
        <is>
          <t>1310012169</t>
        </is>
      </c>
      <c r="F309" s="16" t="n">
        <v>30.24</v>
      </c>
      <c r="G309" s="16" t="inlineStr">
        <is>
          <t>lab.store@jcb.com</t>
        </is>
      </c>
      <c r="H309" s="16" t="n"/>
    </row>
    <row r="310" ht="15" customHeight="1" s="13">
      <c r="A310" s="20" t="n">
        <v>45933</v>
      </c>
      <c r="B310" s="16" t="inlineStr">
        <is>
          <t>7219/0008</t>
        </is>
      </c>
      <c r="C310" s="16" t="inlineStr">
        <is>
          <t>RECEIPT</t>
        </is>
      </c>
      <c r="D310" s="16" t="n">
        <v>10</v>
      </c>
      <c r="E310" s="16" t="inlineStr">
        <is>
          <t>1310012169</t>
        </is>
      </c>
      <c r="F310" s="16" t="n">
        <v>7.7</v>
      </c>
      <c r="G310" s="16" t="inlineStr">
        <is>
          <t>lab.store@jcb.com</t>
        </is>
      </c>
      <c r="H310" s="16" t="n"/>
    </row>
    <row r="311" ht="15" customHeight="1" s="13">
      <c r="A311" s="20" t="n">
        <v>45933</v>
      </c>
      <c r="B311" s="16" t="inlineStr">
        <is>
          <t>7219/0007</t>
        </is>
      </c>
      <c r="C311" s="16" t="inlineStr">
        <is>
          <t>RECEIPT</t>
        </is>
      </c>
      <c r="D311" s="16" t="n">
        <v>20</v>
      </c>
      <c r="E311" s="16" t="inlineStr">
        <is>
          <t>1310012169</t>
        </is>
      </c>
      <c r="F311" s="16" t="n">
        <v>6.01</v>
      </c>
      <c r="G311" s="16" t="inlineStr">
        <is>
          <t>lab.store@jcb.com</t>
        </is>
      </c>
      <c r="H311" s="16" t="n"/>
    </row>
    <row r="312" ht="15" customHeight="1" s="13">
      <c r="A312" s="20" t="n">
        <v>45933</v>
      </c>
      <c r="B312" s="16" t="inlineStr">
        <is>
          <t>7219/0003</t>
        </is>
      </c>
      <c r="C312" s="16" t="inlineStr">
        <is>
          <t>RECEIPT</t>
        </is>
      </c>
      <c r="D312" s="16" t="n">
        <v>5</v>
      </c>
      <c r="E312" s="16" t="inlineStr">
        <is>
          <t>1310012169</t>
        </is>
      </c>
      <c r="F312" s="16" t="n">
        <v>6.87</v>
      </c>
      <c r="G312" s="16" t="inlineStr">
        <is>
          <t>lab.store@jcb.com</t>
        </is>
      </c>
      <c r="H312" s="16" t="n"/>
    </row>
    <row r="313" ht="15" customHeight="1" s="13">
      <c r="A313" s="20" t="n">
        <v>45933</v>
      </c>
      <c r="B313" s="16" t="inlineStr">
        <is>
          <t>7218/0003</t>
        </is>
      </c>
      <c r="C313" s="16" t="inlineStr">
        <is>
          <t>RECEIPT</t>
        </is>
      </c>
      <c r="D313" s="16" t="n">
        <v>15</v>
      </c>
      <c r="E313" s="16" t="inlineStr">
        <is>
          <t>1310012169</t>
        </is>
      </c>
      <c r="F313" s="16" t="n">
        <v>4.72</v>
      </c>
      <c r="G313" s="16" t="inlineStr">
        <is>
          <t>lab.store@jcb.com</t>
        </is>
      </c>
      <c r="H313" s="16" t="n"/>
    </row>
    <row r="314" ht="15" customHeight="1" s="13">
      <c r="A314" s="20" t="n">
        <v>45933</v>
      </c>
      <c r="B314" s="16" t="inlineStr">
        <is>
          <t>7210/0096</t>
        </is>
      </c>
      <c r="C314" s="16" t="inlineStr">
        <is>
          <t>RECEIPT</t>
        </is>
      </c>
      <c r="D314" s="16" t="n">
        <v>30</v>
      </c>
      <c r="E314" s="16" t="inlineStr">
        <is>
          <t>1310012169</t>
        </is>
      </c>
      <c r="F314" s="16" t="n">
        <v>13.63</v>
      </c>
      <c r="G314" s="16" t="inlineStr">
        <is>
          <t>lab.store@jcb.com</t>
        </is>
      </c>
      <c r="H314" s="16" t="n"/>
    </row>
    <row r="315" ht="15" customHeight="1" s="13">
      <c r="A315" s="20" t="n">
        <v>45933</v>
      </c>
      <c r="B315" s="16" t="inlineStr">
        <is>
          <t>7210/0002</t>
        </is>
      </c>
      <c r="C315" s="16" t="inlineStr">
        <is>
          <t>RECEIPT</t>
        </is>
      </c>
      <c r="D315" s="16" t="n">
        <v>85</v>
      </c>
      <c r="E315" s="16" t="inlineStr">
        <is>
          <t>1310012169</t>
        </is>
      </c>
      <c r="F315" s="16" t="n">
        <v>1.42</v>
      </c>
      <c r="G315" s="16" t="inlineStr">
        <is>
          <t>lab.store@jcb.com</t>
        </is>
      </c>
      <c r="H315" s="16" t="n"/>
    </row>
    <row r="316" ht="15" customHeight="1" s="13">
      <c r="A316" s="20" t="n">
        <v>45933</v>
      </c>
      <c r="B316" s="16" t="inlineStr">
        <is>
          <t>7201/0708</t>
        </is>
      </c>
      <c r="C316" s="16" t="inlineStr">
        <is>
          <t>RECEIPT</t>
        </is>
      </c>
      <c r="D316" s="16" t="n">
        <v>5</v>
      </c>
      <c r="E316" s="16" t="inlineStr">
        <is>
          <t>1310012169</t>
        </is>
      </c>
      <c r="F316" s="16" t="n">
        <v>4.15</v>
      </c>
      <c r="G316" s="16" t="inlineStr">
        <is>
          <t>lab.store@jcb.com</t>
        </is>
      </c>
      <c r="H316" s="16" t="n"/>
    </row>
    <row r="317" ht="15" customHeight="1" s="13">
      <c r="A317" s="20" t="n">
        <v>45933</v>
      </c>
      <c r="B317" s="16" t="inlineStr">
        <is>
          <t>7201/0688</t>
        </is>
      </c>
      <c r="C317" s="16" t="inlineStr">
        <is>
          <t>RECEIPT</t>
        </is>
      </c>
      <c r="D317" s="16" t="n">
        <v>70</v>
      </c>
      <c r="E317" s="16" t="inlineStr">
        <is>
          <t>1310012169</t>
        </is>
      </c>
      <c r="F317" s="16" t="n">
        <v>1.69</v>
      </c>
      <c r="G317" s="16" t="inlineStr">
        <is>
          <t>lab.store@jcb.com</t>
        </is>
      </c>
      <c r="H317" s="16" t="n"/>
    </row>
    <row r="318" ht="15" customHeight="1" s="13">
      <c r="A318" s="20" t="n">
        <v>45933</v>
      </c>
      <c r="B318" s="16" t="inlineStr">
        <is>
          <t>7201/0623</t>
        </is>
      </c>
      <c r="C318" s="16" t="inlineStr">
        <is>
          <t>RECEIPT</t>
        </is>
      </c>
      <c r="D318" s="16" t="n">
        <v>10</v>
      </c>
      <c r="E318" s="16" t="inlineStr">
        <is>
          <t>1310012169</t>
        </is>
      </c>
      <c r="F318" s="16" t="n">
        <v>14.69</v>
      </c>
      <c r="G318" s="16" t="inlineStr">
        <is>
          <t>lab.store@jcb.com</t>
        </is>
      </c>
      <c r="H318" s="16" t="n"/>
    </row>
    <row r="319" ht="15" customHeight="1" s="13">
      <c r="A319" s="20" t="n">
        <v>45933</v>
      </c>
      <c r="B319" s="16" t="inlineStr">
        <is>
          <t>7201/0180</t>
        </is>
      </c>
      <c r="C319" s="16" t="inlineStr">
        <is>
          <t>RECEIPT</t>
        </is>
      </c>
      <c r="D319" s="16" t="n">
        <v>10</v>
      </c>
      <c r="E319" s="16" t="inlineStr">
        <is>
          <t>1310012169</t>
        </is>
      </c>
      <c r="F319" s="16" t="n">
        <v>3.08</v>
      </c>
      <c r="G319" s="16" t="inlineStr">
        <is>
          <t>lab.store@jcb.com</t>
        </is>
      </c>
      <c r="H319" s="16" t="n"/>
    </row>
    <row r="320" ht="15" customHeight="1" s="13">
      <c r="A320" s="20" t="n">
        <v>45933</v>
      </c>
      <c r="B320" s="16" t="inlineStr">
        <is>
          <t>332/E9931</t>
        </is>
      </c>
      <c r="C320" s="16" t="inlineStr">
        <is>
          <t>RECEIPT</t>
        </is>
      </c>
      <c r="D320" s="16" t="n">
        <v>20</v>
      </c>
      <c r="E320" s="16" t="inlineStr">
        <is>
          <t>1310012169</t>
        </is>
      </c>
      <c r="F320" s="16" t="n">
        <v>13.71</v>
      </c>
      <c r="G320" s="16" t="inlineStr">
        <is>
          <t>lab.store@jcb.com</t>
        </is>
      </c>
      <c r="H320" s="16" t="n"/>
    </row>
    <row r="321" ht="15" customHeight="1" s="13">
      <c r="A321" s="20" t="n">
        <v>45933</v>
      </c>
      <c r="B321" s="16" t="inlineStr">
        <is>
          <t>7212/0156</t>
        </is>
      </c>
      <c r="C321" s="16" t="inlineStr">
        <is>
          <t>RECEIPT</t>
        </is>
      </c>
      <c r="D321" s="16" t="n">
        <v>20</v>
      </c>
      <c r="E321" s="16" t="inlineStr">
        <is>
          <t>1310012169</t>
        </is>
      </c>
      <c r="F321" s="16" t="n">
        <v>12.76</v>
      </c>
      <c r="G321" s="16" t="inlineStr">
        <is>
          <t>lab.store@jcb.com</t>
        </is>
      </c>
      <c r="H321" s="16" t="n"/>
    </row>
    <row r="322" ht="15" customHeight="1" s="13">
      <c r="A322" s="20" t="n">
        <v>45933</v>
      </c>
      <c r="B322" s="16" t="inlineStr">
        <is>
          <t>7212/0128</t>
        </is>
      </c>
      <c r="C322" s="16" t="inlineStr">
        <is>
          <t>RECEIPT</t>
        </is>
      </c>
      <c r="D322" s="16" t="n">
        <v>25</v>
      </c>
      <c r="E322" s="16" t="inlineStr">
        <is>
          <t>1310012169</t>
        </is>
      </c>
      <c r="F322" s="16" t="n">
        <v>8.710000000000001</v>
      </c>
      <c r="G322" s="16" t="inlineStr">
        <is>
          <t>lab.store@jcb.com</t>
        </is>
      </c>
      <c r="H322" s="16" t="n"/>
    </row>
    <row r="323" ht="15" customHeight="1" s="13">
      <c r="A323" s="20" t="n">
        <v>45933</v>
      </c>
      <c r="B323" s="16" t="inlineStr">
        <is>
          <t>7219/0001</t>
        </is>
      </c>
      <c r="C323" s="16" t="inlineStr">
        <is>
          <t>RECEIPT</t>
        </is>
      </c>
      <c r="D323" s="16" t="n">
        <v>5</v>
      </c>
      <c r="E323" s="16" t="inlineStr">
        <is>
          <t>1310012169</t>
        </is>
      </c>
      <c r="F323" s="16" t="n">
        <v>41.06</v>
      </c>
      <c r="G323" s="16" t="inlineStr">
        <is>
          <t>lab.store@jcb.com</t>
        </is>
      </c>
      <c r="H323" s="16" t="n"/>
    </row>
    <row r="324" ht="15" customHeight="1" s="13">
      <c r="A324" s="20" t="n">
        <v>45933</v>
      </c>
      <c r="B324" s="16" t="inlineStr">
        <is>
          <t>7212/0141</t>
        </is>
      </c>
      <c r="C324" s="16" t="inlineStr">
        <is>
          <t>RECEIPT</t>
        </is>
      </c>
      <c r="D324" s="16" t="n">
        <v>10</v>
      </c>
      <c r="E324" s="16" t="inlineStr">
        <is>
          <t>1310012169</t>
        </is>
      </c>
      <c r="F324" s="16" t="n">
        <v>104.32</v>
      </c>
      <c r="G324" s="16" t="inlineStr">
        <is>
          <t>lab.store@jcb.com</t>
        </is>
      </c>
      <c r="H324" s="16" t="n"/>
    </row>
    <row r="325" ht="15" customHeight="1" s="13">
      <c r="A325" s="20" t="n">
        <v>45933</v>
      </c>
      <c r="B325" s="16" t="inlineStr">
        <is>
          <t>7214/0068</t>
        </is>
      </c>
      <c r="C325" s="16" t="inlineStr">
        <is>
          <t>RECEIPT</t>
        </is>
      </c>
      <c r="D325" s="16" t="n">
        <v>15</v>
      </c>
      <c r="E325" s="16" t="inlineStr">
        <is>
          <t>1310012169</t>
        </is>
      </c>
      <c r="F325" s="16" t="n">
        <v>4.85</v>
      </c>
      <c r="G325" s="16" t="inlineStr">
        <is>
          <t>lab.store@jcb.com</t>
        </is>
      </c>
      <c r="H325" s="16" t="n"/>
    </row>
    <row r="326" ht="15" customHeight="1" s="13">
      <c r="A326" s="20" t="n">
        <v>45933</v>
      </c>
      <c r="B326" s="16" t="inlineStr">
        <is>
          <t>7219/0006</t>
        </is>
      </c>
      <c r="C326" s="16" t="inlineStr">
        <is>
          <t>RECEIPT</t>
        </is>
      </c>
      <c r="D326" s="16" t="n">
        <v>10</v>
      </c>
      <c r="E326" s="16" t="inlineStr">
        <is>
          <t>1310012169</t>
        </is>
      </c>
      <c r="F326" s="16" t="n">
        <v>10.67</v>
      </c>
      <c r="G326" s="16" t="inlineStr">
        <is>
          <t>lab.store@jcb.com</t>
        </is>
      </c>
      <c r="H326" s="16" t="n"/>
    </row>
    <row r="327" ht="15" customHeight="1" s="13">
      <c r="A327" s="20" t="n">
        <v>45933</v>
      </c>
      <c r="B327" s="16" t="inlineStr">
        <is>
          <t>7213/0066</t>
        </is>
      </c>
      <c r="C327" s="16" t="inlineStr">
        <is>
          <t>RECEIPT</t>
        </is>
      </c>
      <c r="D327" s="16" t="n">
        <v>5</v>
      </c>
      <c r="E327" s="16" t="inlineStr">
        <is>
          <t>1310012169</t>
        </is>
      </c>
      <c r="F327" s="16" t="n">
        <v>14.72</v>
      </c>
      <c r="G327" s="16" t="inlineStr">
        <is>
          <t>lab.store@jcb.com</t>
        </is>
      </c>
      <c r="H327" s="16" t="n"/>
    </row>
    <row r="328" ht="15" customHeight="1" s="13">
      <c r="A328" s="20" t="n">
        <v>45933</v>
      </c>
      <c r="B328" s="16" t="inlineStr">
        <is>
          <t>7218/0001</t>
        </is>
      </c>
      <c r="C328" s="16" t="inlineStr">
        <is>
          <t>RECEIPT</t>
        </is>
      </c>
      <c r="D328" s="16" t="n">
        <v>5</v>
      </c>
      <c r="E328" s="16" t="inlineStr">
        <is>
          <t>1310012169</t>
        </is>
      </c>
      <c r="F328" s="16" t="n">
        <v>37.58</v>
      </c>
      <c r="G328" s="16" t="inlineStr">
        <is>
          <t>lab.store@jcb.com</t>
        </is>
      </c>
      <c r="H328" s="16" t="n"/>
    </row>
    <row r="329" ht="15" customHeight="1" s="13">
      <c r="A329" s="20" t="n">
        <v>45933</v>
      </c>
      <c r="B329" s="16" t="inlineStr">
        <is>
          <t>7212/0060</t>
        </is>
      </c>
      <c r="C329" s="16" t="inlineStr">
        <is>
          <t>RECEIPT</t>
        </is>
      </c>
      <c r="D329" s="16" t="n">
        <v>5</v>
      </c>
      <c r="E329" s="16" t="inlineStr">
        <is>
          <t>1310012169</t>
        </is>
      </c>
      <c r="F329" s="16" t="n">
        <v>30.92</v>
      </c>
      <c r="G329" s="16" t="inlineStr">
        <is>
          <t>lab.store@jcb.com</t>
        </is>
      </c>
      <c r="H329" s="16" t="n"/>
    </row>
    <row r="330" ht="15" customHeight="1" s="13">
      <c r="A330" s="20" t="n">
        <v>45940</v>
      </c>
      <c r="B330" s="16" t="inlineStr">
        <is>
          <t>MC00001A1XXXXX001</t>
        </is>
      </c>
      <c r="C330" s="16" t="inlineStr">
        <is>
          <t>RECEIPT</t>
        </is>
      </c>
      <c r="D330" s="16" t="n">
        <v>2000</v>
      </c>
      <c r="E330" s="16" t="inlineStr">
        <is>
          <t>9700009860</t>
        </is>
      </c>
      <c r="F330" s="16" t="n">
        <v>5.05</v>
      </c>
      <c r="G330" s="16" t="inlineStr">
        <is>
          <t>lab.store@jcb.com</t>
        </is>
      </c>
      <c r="H330" s="16" t="n"/>
    </row>
    <row r="331" ht="15" customHeight="1" s="13">
      <c r="A331" s="20" t="n">
        <v>45940</v>
      </c>
      <c r="B331" s="16" t="inlineStr">
        <is>
          <t>MC00001A2XXXXX001</t>
        </is>
      </c>
      <c r="C331" s="16" t="inlineStr">
        <is>
          <t>RECEIPT</t>
        </is>
      </c>
      <c r="D331" s="16" t="n">
        <v>2000</v>
      </c>
      <c r="E331" s="16" t="inlineStr">
        <is>
          <t>9700009860</t>
        </is>
      </c>
      <c r="F331" s="16" t="n">
        <v>7.53</v>
      </c>
      <c r="G331" s="16" t="inlineStr">
        <is>
          <t>lab.store@jcb.com</t>
        </is>
      </c>
      <c r="H331" s="16" t="n"/>
    </row>
    <row r="332" ht="15" customHeight="1" s="13">
      <c r="A332" s="20" t="n">
        <v>45940</v>
      </c>
      <c r="B332" s="16" t="inlineStr">
        <is>
          <t>MC00001A3XXXXX001</t>
        </is>
      </c>
      <c r="C332" s="16" t="inlineStr">
        <is>
          <t>RECEIPT</t>
        </is>
      </c>
      <c r="D332" s="16" t="n">
        <v>2000</v>
      </c>
      <c r="E332" s="16" t="inlineStr">
        <is>
          <t>9700009860</t>
        </is>
      </c>
      <c r="F332" s="16" t="n">
        <v>9.880000000000001</v>
      </c>
      <c r="G332" s="16" t="inlineStr">
        <is>
          <t>lab.store@jcb.com</t>
        </is>
      </c>
      <c r="H332" s="16" t="n"/>
    </row>
    <row r="333" ht="15" customHeight="1" s="13">
      <c r="A333" s="20" t="n">
        <v>45940</v>
      </c>
      <c r="B333" s="16" t="inlineStr">
        <is>
          <t>MC00001A4XXXXX001</t>
        </is>
      </c>
      <c r="C333" s="16" t="inlineStr">
        <is>
          <t>RECEIPT</t>
        </is>
      </c>
      <c r="D333" s="16" t="n">
        <v>2000</v>
      </c>
      <c r="E333" s="16" t="inlineStr">
        <is>
          <t>9700009860</t>
        </is>
      </c>
      <c r="F333" s="16" t="n">
        <v>14.29</v>
      </c>
      <c r="G333" s="16" t="inlineStr">
        <is>
          <t>lab.store@jcb.com</t>
        </is>
      </c>
      <c r="H333" s="16" t="n"/>
    </row>
    <row r="334" ht="15" customHeight="1" s="13">
      <c r="A334" s="20" t="n">
        <v>45940</v>
      </c>
      <c r="B334" s="16" t="inlineStr">
        <is>
          <t>MC00001A5XXXXX001</t>
        </is>
      </c>
      <c r="C334" s="16" t="inlineStr">
        <is>
          <t>RECEIPT</t>
        </is>
      </c>
      <c r="D334" s="16" t="n">
        <v>1000</v>
      </c>
      <c r="E334" s="16" t="inlineStr">
        <is>
          <t>9700009860</t>
        </is>
      </c>
      <c r="F334" s="16" t="n">
        <v>20.96</v>
      </c>
      <c r="G334" s="16" t="inlineStr">
        <is>
          <t>lab.store@jcb.com</t>
        </is>
      </c>
      <c r="H334" s="16" t="n"/>
    </row>
    <row r="335" ht="15" customHeight="1" s="13">
      <c r="A335" s="20" t="n">
        <v>45940</v>
      </c>
      <c r="B335" s="16" t="inlineStr">
        <is>
          <t>MC00001A6XXXXX001</t>
        </is>
      </c>
      <c r="C335" s="16" t="inlineStr">
        <is>
          <t>RECEIPT</t>
        </is>
      </c>
      <c r="D335" s="16" t="n">
        <v>1000</v>
      </c>
      <c r="E335" s="16" t="inlineStr">
        <is>
          <t>9700009860</t>
        </is>
      </c>
      <c r="F335" s="16" t="n">
        <v>23.56</v>
      </c>
      <c r="G335" s="16" t="inlineStr">
        <is>
          <t>lab.store@jcb.com</t>
        </is>
      </c>
      <c r="H335" s="16" t="n"/>
    </row>
    <row r="336" ht="15" customHeight="1" s="13">
      <c r="A336" s="20" t="n">
        <v>45940</v>
      </c>
      <c r="B336" s="16" t="inlineStr">
        <is>
          <t>MC00001A8XXXXX001</t>
        </is>
      </c>
      <c r="C336" s="16" t="inlineStr">
        <is>
          <t>RECEIPT</t>
        </is>
      </c>
      <c r="D336" s="16" t="n">
        <v>500</v>
      </c>
      <c r="E336" s="16" t="inlineStr">
        <is>
          <t>9700009860</t>
        </is>
      </c>
      <c r="F336" s="16" t="n">
        <v>38.55</v>
      </c>
      <c r="G336" s="16" t="inlineStr">
        <is>
          <t>lab.store@jcb.com</t>
        </is>
      </c>
      <c r="H336" s="16" t="n"/>
    </row>
    <row r="337" ht="15" customHeight="1" s="13">
      <c r="A337" s="20" t="n">
        <v>45940</v>
      </c>
      <c r="B337" s="16" t="inlineStr">
        <is>
          <t>MC00001A9XXXXX001</t>
        </is>
      </c>
      <c r="C337" s="16" t="inlineStr">
        <is>
          <t>RECEIPT</t>
        </is>
      </c>
      <c r="D337" s="16" t="n">
        <v>600</v>
      </c>
      <c r="E337" s="16" t="inlineStr">
        <is>
          <t>9700009860</t>
        </is>
      </c>
      <c r="F337" s="16" t="n">
        <v>57.23</v>
      </c>
      <c r="G337" s="16" t="inlineStr">
        <is>
          <t>lab.store@jcb.com</t>
        </is>
      </c>
      <c r="H337" s="16" t="n"/>
    </row>
    <row r="338" ht="15" customHeight="1" s="13">
      <c r="A338" s="20" t="n">
        <v>45940</v>
      </c>
      <c r="B338" s="16" t="inlineStr">
        <is>
          <t>MC00001B2XXXXX001</t>
        </is>
      </c>
      <c r="C338" s="16" t="inlineStr">
        <is>
          <t>RECEIPT</t>
        </is>
      </c>
      <c r="D338" s="16" t="n">
        <v>600</v>
      </c>
      <c r="E338" s="16" t="inlineStr">
        <is>
          <t>9700009860</t>
        </is>
      </c>
      <c r="F338" s="16" t="n">
        <v>100.58</v>
      </c>
      <c r="G338" s="16" t="inlineStr">
        <is>
          <t>lab.store@jcb.com</t>
        </is>
      </c>
      <c r="H338" s="16" t="n"/>
    </row>
    <row r="339" ht="15" customHeight="1" s="13">
      <c r="A339" s="20" t="n">
        <v>45940</v>
      </c>
      <c r="B339" s="16" t="inlineStr">
        <is>
          <t>MC00001A7XXXXX001</t>
        </is>
      </c>
      <c r="C339" s="16" t="inlineStr">
        <is>
          <t>RECEIPT</t>
        </is>
      </c>
      <c r="D339" s="16" t="n">
        <v>500</v>
      </c>
      <c r="E339" s="16" t="inlineStr">
        <is>
          <t>9700009860</t>
        </is>
      </c>
      <c r="F339" s="16" t="n">
        <v>34.61</v>
      </c>
      <c r="G339" s="16" t="inlineStr">
        <is>
          <t>lab.store@jcb.com</t>
        </is>
      </c>
      <c r="H339" s="16" t="n"/>
    </row>
    <row r="340" ht="15" customHeight="1" s="13">
      <c r="A340" s="20" t="n">
        <v>45940</v>
      </c>
      <c r="B340" s="16" t="inlineStr">
        <is>
          <t>MC00001B1XXXXX001</t>
        </is>
      </c>
      <c r="C340" s="16" t="inlineStr">
        <is>
          <t>RECEIPT</t>
        </is>
      </c>
      <c r="D340" s="16" t="n">
        <v>600</v>
      </c>
      <c r="E340" s="16" t="inlineStr">
        <is>
          <t>9700009860</t>
        </is>
      </c>
      <c r="F340" s="16" t="n">
        <v>89.06</v>
      </c>
      <c r="G340" s="16" t="inlineStr">
        <is>
          <t>lab.store@jcb.com</t>
        </is>
      </c>
      <c r="H340" s="16" t="n"/>
    </row>
    <row r="341" ht="15" customHeight="1" s="13">
      <c r="A341" s="20" t="n">
        <v>46049</v>
      </c>
      <c r="B341" s="16" t="inlineStr">
        <is>
          <t>7204/0160</t>
        </is>
      </c>
      <c r="C341" s="16" t="inlineStr">
        <is>
          <t>RECEIPT</t>
        </is>
      </c>
      <c r="D341" s="16" t="n">
        <v>100</v>
      </c>
      <c r="E341" s="16" t="inlineStr">
        <is>
          <t>FOC_TE_01</t>
        </is>
      </c>
      <c r="F341" s="16" t="n"/>
      <c r="G341" s="16" t="inlineStr">
        <is>
          <t>lab.store@jcb.com</t>
        </is>
      </c>
      <c r="H341" s="16" t="n"/>
    </row>
    <row r="342" ht="15" customHeight="1" s="13">
      <c r="A342" s="20" t="n">
        <v>46049</v>
      </c>
      <c r="B342" s="16" t="inlineStr">
        <is>
          <t>7204/0124</t>
        </is>
      </c>
      <c r="C342" s="16" t="inlineStr">
        <is>
          <t>RECEIPT</t>
        </is>
      </c>
      <c r="D342" s="16" t="n">
        <v>67</v>
      </c>
      <c r="E342" s="16" t="inlineStr">
        <is>
          <t>FOC_TE_01</t>
        </is>
      </c>
      <c r="F342" s="16" t="n"/>
      <c r="G342" s="16" t="inlineStr">
        <is>
          <t>lab.store@jcb.com</t>
        </is>
      </c>
      <c r="H342" s="16" t="n"/>
    </row>
    <row r="343" ht="15" customHeight="1" s="13">
      <c r="A343" s="20" t="n">
        <v>46049</v>
      </c>
      <c r="B343" s="16" t="inlineStr">
        <is>
          <t>7201/0070</t>
        </is>
      </c>
      <c r="C343" s="16" t="inlineStr">
        <is>
          <t>RECEIPT</t>
        </is>
      </c>
      <c r="D343" s="16" t="n">
        <v>100</v>
      </c>
      <c r="E343" s="16" t="inlineStr">
        <is>
          <t>FOC_TE_01</t>
        </is>
      </c>
      <c r="F343" s="16" t="n"/>
      <c r="G343" s="16" t="inlineStr">
        <is>
          <t>lab.store@jcb.com</t>
        </is>
      </c>
      <c r="H343" s="16" t="n"/>
    </row>
    <row r="344" ht="15" customHeight="1" s="13">
      <c r="A344" s="20" t="n">
        <v>46066</v>
      </c>
      <c r="B344" s="16" t="inlineStr">
        <is>
          <t>7231/0008</t>
        </is>
      </c>
      <c r="C344" s="16" t="inlineStr">
        <is>
          <t>RECEIPT</t>
        </is>
      </c>
      <c r="D344" s="16" t="n">
        <v>10</v>
      </c>
      <c r="E344" s="16" t="inlineStr">
        <is>
          <t>FOC_TE_13</t>
        </is>
      </c>
      <c r="F344" s="16" t="n"/>
      <c r="G344" s="16" t="inlineStr">
        <is>
          <t>lab.store@jcb.com</t>
        </is>
      </c>
      <c r="H344" s="16" t="n"/>
    </row>
    <row r="345" ht="15" customHeight="1" s="13">
      <c r="A345" s="20" t="n">
        <v>46066</v>
      </c>
      <c r="B345" s="16" t="inlineStr">
        <is>
          <t>7201/0657</t>
        </is>
      </c>
      <c r="C345" s="16" t="inlineStr">
        <is>
          <t>RECEIPT</t>
        </is>
      </c>
      <c r="D345" s="16" t="n">
        <v>100</v>
      </c>
      <c r="E345" s="16" t="inlineStr">
        <is>
          <t>FOC_TE_02</t>
        </is>
      </c>
      <c r="F345" s="16" t="n"/>
      <c r="G345" s="16" t="inlineStr">
        <is>
          <t>lab.store@jcb.com</t>
        </is>
      </c>
      <c r="H345" s="16" t="n"/>
    </row>
    <row r="346" ht="15" customHeight="1" s="13">
      <c r="A346" s="20" t="n">
        <v>46066</v>
      </c>
      <c r="B346" s="16" t="inlineStr">
        <is>
          <t>7201/0653</t>
        </is>
      </c>
      <c r="C346" s="16" t="inlineStr">
        <is>
          <t>RECEIPT</t>
        </is>
      </c>
      <c r="D346" s="16" t="n">
        <v>100</v>
      </c>
      <c r="E346" s="16" t="inlineStr">
        <is>
          <t>FOC_TE_02</t>
        </is>
      </c>
      <c r="F346" s="16" t="n"/>
      <c r="G346" s="16" t="inlineStr">
        <is>
          <t>lab.store@jcb.com</t>
        </is>
      </c>
      <c r="H346" s="16" t="n"/>
    </row>
    <row r="347" ht="15" customHeight="1" s="13">
      <c r="A347" s="20" t="n">
        <v>46066</v>
      </c>
      <c r="B347" s="16" t="inlineStr">
        <is>
          <t>7201/0069</t>
        </is>
      </c>
      <c r="C347" s="16" t="inlineStr">
        <is>
          <t>RECEIPT</t>
        </is>
      </c>
      <c r="D347" s="16" t="n">
        <v>70</v>
      </c>
      <c r="E347" s="16" t="inlineStr">
        <is>
          <t>FOC_TE_02</t>
        </is>
      </c>
      <c r="F347" s="16" t="n"/>
      <c r="G347" s="16" t="inlineStr">
        <is>
          <t>lab.store@jcb.com</t>
        </is>
      </c>
      <c r="H347" s="16" t="n"/>
    </row>
    <row r="348" ht="15" customHeight="1" s="13">
      <c r="A348" s="20" t="n">
        <v>46066</v>
      </c>
      <c r="B348" s="16" t="inlineStr">
        <is>
          <t>7213/0083</t>
        </is>
      </c>
      <c r="C348" s="16" t="inlineStr">
        <is>
          <t>RECEIPT</t>
        </is>
      </c>
      <c r="D348" s="16" t="n">
        <v>10</v>
      </c>
      <c r="E348" s="16" t="inlineStr">
        <is>
          <t>FOC_TE_03</t>
        </is>
      </c>
      <c r="F348" s="16" t="n"/>
      <c r="G348" s="16" t="inlineStr">
        <is>
          <t>lab.store@jcb.com</t>
        </is>
      </c>
      <c r="H348" s="16" t="n"/>
    </row>
    <row r="349" ht="15" customHeight="1" s="13">
      <c r="A349" s="20" t="n">
        <v>46066</v>
      </c>
      <c r="B349" s="16" t="inlineStr">
        <is>
          <t>7243/0575</t>
        </is>
      </c>
      <c r="C349" s="16" t="inlineStr">
        <is>
          <t>RECEIPT</t>
        </is>
      </c>
      <c r="D349" s="16" t="n">
        <v>10</v>
      </c>
      <c r="E349" s="16" t="inlineStr">
        <is>
          <t>FOC_TE_03</t>
        </is>
      </c>
      <c r="F349" s="16" t="n"/>
      <c r="G349" s="16" t="inlineStr">
        <is>
          <t>lab.store@jcb.com</t>
        </is>
      </c>
      <c r="H349" s="16" t="n"/>
    </row>
    <row r="350" ht="15" customHeight="1" s="13">
      <c r="A350" s="20" t="n">
        <v>46066</v>
      </c>
      <c r="B350" s="16" t="inlineStr">
        <is>
          <t>7213/0099</t>
        </is>
      </c>
      <c r="C350" s="16" t="inlineStr">
        <is>
          <t>RECEIPT</t>
        </is>
      </c>
      <c r="D350" s="16" t="n">
        <v>5</v>
      </c>
      <c r="E350" s="16" t="inlineStr">
        <is>
          <t>FOC_TE_03</t>
        </is>
      </c>
      <c r="F350" s="16" t="n"/>
      <c r="G350" s="16" t="inlineStr">
        <is>
          <t>lab.store@jcb.com</t>
        </is>
      </c>
      <c r="H350" s="16" t="n"/>
    </row>
    <row r="351" ht="15" customHeight="1" s="13">
      <c r="A351" s="20" t="n">
        <v>46066</v>
      </c>
      <c r="B351" s="16" t="inlineStr">
        <is>
          <t>7213/0098</t>
        </is>
      </c>
      <c r="C351" s="16" t="inlineStr">
        <is>
          <t>RECEIPT</t>
        </is>
      </c>
      <c r="D351" s="16" t="n">
        <v>5</v>
      </c>
      <c r="E351" s="16" t="inlineStr">
        <is>
          <t>FOC_TE_03</t>
        </is>
      </c>
      <c r="F351" s="16" t="n"/>
      <c r="G351" s="16" t="inlineStr">
        <is>
          <t>lab.store@jcb.com</t>
        </is>
      </c>
      <c r="H351" s="16" t="n"/>
    </row>
    <row r="352" ht="15" customHeight="1" s="13">
      <c r="A352" s="20" t="n">
        <v>46066</v>
      </c>
      <c r="B352" s="16" t="inlineStr">
        <is>
          <t>716/30252</t>
        </is>
      </c>
      <c r="C352" s="16" t="inlineStr">
        <is>
          <t>RECEIPT</t>
        </is>
      </c>
      <c r="D352" s="16" t="n">
        <v>1</v>
      </c>
      <c r="E352" s="16" t="inlineStr">
        <is>
          <t>FOC_TE_03</t>
        </is>
      </c>
      <c r="F352" s="16" t="n"/>
      <c r="G352" s="16" t="inlineStr">
        <is>
          <t>lab.store@jcb.com</t>
        </is>
      </c>
      <c r="H352" s="16" t="n"/>
    </row>
    <row r="353" ht="15" customHeight="1" s="13">
      <c r="A353" s="20" t="n">
        <v>46066</v>
      </c>
      <c r="B353" s="16" t="inlineStr">
        <is>
          <t>7219/0019</t>
        </is>
      </c>
      <c r="C353" s="16" t="inlineStr">
        <is>
          <t>RECEIPT</t>
        </is>
      </c>
      <c r="D353" s="16" t="n">
        <v>10</v>
      </c>
      <c r="E353" s="16" t="inlineStr">
        <is>
          <t>FOC_TE_03</t>
        </is>
      </c>
      <c r="F353" s="16" t="n"/>
      <c r="G353" s="16" t="inlineStr">
        <is>
          <t>lab.store@jcb.com</t>
        </is>
      </c>
      <c r="H353" s="16" t="n"/>
    </row>
    <row r="354" ht="15" customHeight="1" s="13">
      <c r="A354" s="20" t="n">
        <v>46066</v>
      </c>
      <c r="B354" s="16" t="inlineStr">
        <is>
          <t>7219/0402</t>
        </is>
      </c>
      <c r="C354" s="16" t="inlineStr">
        <is>
          <t>RECEIPT</t>
        </is>
      </c>
      <c r="D354" s="16" t="n">
        <v>10</v>
      </c>
      <c r="E354" s="16" t="inlineStr">
        <is>
          <t>FOC_TE_03</t>
        </is>
      </c>
      <c r="F354" s="16" t="n"/>
      <c r="G354" s="16" t="inlineStr">
        <is>
          <t>lab.store@jcb.com</t>
        </is>
      </c>
      <c r="H354" s="16" t="n"/>
    </row>
    <row r="355" ht="15" customHeight="1" s="13">
      <c r="A355" s="20" t="n">
        <v>46066</v>
      </c>
      <c r="B355" s="16" t="inlineStr">
        <is>
          <t>7219/0219</t>
        </is>
      </c>
      <c r="C355" s="16" t="inlineStr">
        <is>
          <t>RECEIPT</t>
        </is>
      </c>
      <c r="D355" s="16" t="n">
        <v>5</v>
      </c>
      <c r="E355" s="16" t="inlineStr">
        <is>
          <t>FOC_TE_03</t>
        </is>
      </c>
      <c r="F355" s="16" t="n"/>
      <c r="G355" s="16" t="inlineStr">
        <is>
          <t>lab.store@jcb.com</t>
        </is>
      </c>
      <c r="H355" s="16" t="n"/>
    </row>
    <row r="356" ht="15" customHeight="1" s="13">
      <c r="A356" s="20" t="n">
        <v>46066</v>
      </c>
      <c r="B356" s="16" t="inlineStr">
        <is>
          <t>7219/0196</t>
        </is>
      </c>
      <c r="C356" s="16" t="inlineStr">
        <is>
          <t>RECEIPT</t>
        </is>
      </c>
      <c r="D356" s="16" t="n">
        <v>10</v>
      </c>
      <c r="E356" s="16" t="inlineStr">
        <is>
          <t>FOC_TE_03</t>
        </is>
      </c>
      <c r="F356" s="16" t="n"/>
      <c r="G356" s="16" t="inlineStr">
        <is>
          <t>lab.store@jcb.com</t>
        </is>
      </c>
      <c r="H356" s="16" t="n"/>
    </row>
    <row r="357" ht="15" customHeight="1" s="13">
      <c r="A357" s="20" t="n">
        <v>46066</v>
      </c>
      <c r="B357" s="16" t="inlineStr">
        <is>
          <t>7201/0747</t>
        </is>
      </c>
      <c r="C357" s="16" t="inlineStr">
        <is>
          <t>RECEIPT</t>
        </is>
      </c>
      <c r="D357" s="16" t="n">
        <v>70</v>
      </c>
      <c r="E357" s="16" t="inlineStr">
        <is>
          <t>FOC_TE_04</t>
        </is>
      </c>
      <c r="F357" s="16" t="n"/>
      <c r="G357" s="16" t="inlineStr">
        <is>
          <t>lab.store@jcb.com</t>
        </is>
      </c>
      <c r="H357" s="16" t="n"/>
    </row>
    <row r="358" ht="15" customHeight="1" s="13">
      <c r="A358" s="20" t="n">
        <v>46066</v>
      </c>
      <c r="B358" s="16" t="inlineStr">
        <is>
          <t>7210/0013</t>
        </is>
      </c>
      <c r="C358" s="16" t="inlineStr">
        <is>
          <t>RECEIPT</t>
        </is>
      </c>
      <c r="D358" s="16" t="n">
        <v>10</v>
      </c>
      <c r="E358" s="16" t="inlineStr">
        <is>
          <t>FOC_TE_04</t>
        </is>
      </c>
      <c r="F358" s="16" t="n"/>
      <c r="G358" s="16" t="inlineStr">
        <is>
          <t>lab.store@jcb.com</t>
        </is>
      </c>
      <c r="H358" s="16" t="n"/>
    </row>
    <row r="359" ht="15" customHeight="1" s="13">
      <c r="A359" s="20" t="n">
        <v>46066</v>
      </c>
      <c r="B359" s="16" t="inlineStr">
        <is>
          <t>7201/0069</t>
        </is>
      </c>
      <c r="C359" s="16" t="inlineStr">
        <is>
          <t>RECEIPT</t>
        </is>
      </c>
      <c r="D359" s="16" t="n">
        <v>30</v>
      </c>
      <c r="E359" s="16" t="inlineStr">
        <is>
          <t>FOC_TE_04</t>
        </is>
      </c>
      <c r="F359" s="16" t="n"/>
      <c r="G359" s="16" t="inlineStr">
        <is>
          <t>lab.store@jcb.com</t>
        </is>
      </c>
      <c r="H359" s="16" t="n"/>
    </row>
    <row r="360" ht="15" customHeight="1" s="13">
      <c r="A360" s="20" t="n">
        <v>46066</v>
      </c>
      <c r="B360" s="16" t="inlineStr">
        <is>
          <t>7201/0657</t>
        </is>
      </c>
      <c r="C360" s="16" t="inlineStr">
        <is>
          <t>RECEIPT</t>
        </is>
      </c>
      <c r="D360" s="16" t="n">
        <v>70</v>
      </c>
      <c r="E360" s="16" t="inlineStr">
        <is>
          <t>FOC_TE_04</t>
        </is>
      </c>
      <c r="F360" s="16" t="n"/>
      <c r="G360" s="16" t="inlineStr">
        <is>
          <t>lab.store@jcb.com</t>
        </is>
      </c>
      <c r="H360" s="16" t="n"/>
    </row>
    <row r="361" ht="15" customHeight="1" s="13">
      <c r="A361" s="20" t="n">
        <v>46066</v>
      </c>
      <c r="B361" s="16" t="inlineStr">
        <is>
          <t>7210/0049</t>
        </is>
      </c>
      <c r="C361" s="16" t="inlineStr">
        <is>
          <t>RECEIPT</t>
        </is>
      </c>
      <c r="D361" s="16" t="n">
        <v>17</v>
      </c>
      <c r="E361" s="16" t="inlineStr">
        <is>
          <t>FOC_TE_04</t>
        </is>
      </c>
      <c r="F361" s="16" t="n"/>
      <c r="G361" s="16" t="inlineStr">
        <is>
          <t>lab.store@jcb.com</t>
        </is>
      </c>
      <c r="H361" s="16" t="n"/>
    </row>
    <row r="362" ht="15" customHeight="1" s="13">
      <c r="A362" s="20" t="n">
        <v>46066</v>
      </c>
      <c r="B362" s="16" t="inlineStr">
        <is>
          <t>7201/0669</t>
        </is>
      </c>
      <c r="C362" s="16" t="inlineStr">
        <is>
          <t>RECEIPT</t>
        </is>
      </c>
      <c r="D362" s="16" t="n">
        <v>10</v>
      </c>
      <c r="E362" s="16" t="inlineStr">
        <is>
          <t>FOC_TE_04</t>
        </is>
      </c>
      <c r="F362" s="16" t="n"/>
      <c r="G362" s="16" t="inlineStr">
        <is>
          <t>lab.store@jcb.com</t>
        </is>
      </c>
      <c r="H362" s="16" t="n"/>
    </row>
    <row r="363" ht="15" customHeight="1" s="13">
      <c r="A363" s="20" t="n">
        <v>46066</v>
      </c>
      <c r="B363" s="16" t="inlineStr">
        <is>
          <t>7243/0575</t>
        </is>
      </c>
      <c r="C363" s="16" t="inlineStr">
        <is>
          <t>RECEIPT</t>
        </is>
      </c>
      <c r="D363" s="16" t="n">
        <v>10</v>
      </c>
      <c r="E363" s="16" t="inlineStr">
        <is>
          <t>FOC_TE_05</t>
        </is>
      </c>
      <c r="F363" s="16" t="n"/>
      <c r="G363" s="16" t="inlineStr">
        <is>
          <t>lab.store@jcb.com</t>
        </is>
      </c>
      <c r="H363" s="16" t="n"/>
    </row>
    <row r="364" ht="15" customHeight="1" s="13">
      <c r="A364" s="20" t="n">
        <v>46066</v>
      </c>
      <c r="B364" s="16" t="inlineStr">
        <is>
          <t>716/30252</t>
        </is>
      </c>
      <c r="C364" s="16" t="inlineStr">
        <is>
          <t>RECEIPT</t>
        </is>
      </c>
      <c r="D364" s="16" t="n">
        <v>5</v>
      </c>
      <c r="E364" s="16" t="inlineStr">
        <is>
          <t>FOC_TE_05</t>
        </is>
      </c>
      <c r="F364" s="16" t="n"/>
      <c r="G364" s="16" t="inlineStr">
        <is>
          <t>lab.store@jcb.com</t>
        </is>
      </c>
      <c r="H364" s="16" t="n"/>
    </row>
    <row r="365" ht="15" customHeight="1" s="13">
      <c r="A365" s="20" t="n">
        <v>46066</v>
      </c>
      <c r="B365" s="16" t="inlineStr">
        <is>
          <t>727/00002</t>
        </is>
      </c>
      <c r="C365" s="16" t="inlineStr">
        <is>
          <t>RECEIPT</t>
        </is>
      </c>
      <c r="D365" s="16" t="n">
        <v>5</v>
      </c>
      <c r="E365" s="16" t="inlineStr">
        <is>
          <t>FOC_TE_06</t>
        </is>
      </c>
      <c r="F365" s="16" t="n"/>
      <c r="G365" s="16" t="inlineStr">
        <is>
          <t>lab.store@jcb.com</t>
        </is>
      </c>
      <c r="H365" s="16" t="n"/>
    </row>
    <row r="366" ht="15" customHeight="1" s="13">
      <c r="A366" s="20" t="n">
        <v>46066</v>
      </c>
      <c r="B366" s="16" t="inlineStr">
        <is>
          <t>7213/0031</t>
        </is>
      </c>
      <c r="C366" s="16" t="inlineStr">
        <is>
          <t>RECEIPT</t>
        </is>
      </c>
      <c r="D366" s="16" t="n">
        <v>5</v>
      </c>
      <c r="E366" s="16" t="inlineStr">
        <is>
          <t>FOC_TE_06</t>
        </is>
      </c>
      <c r="F366" s="16" t="n"/>
      <c r="G366" s="16" t="inlineStr">
        <is>
          <t>lab.store@jcb.com</t>
        </is>
      </c>
      <c r="H366" s="16" t="n"/>
    </row>
    <row r="367" ht="15" customHeight="1" s="13">
      <c r="A367" s="20" t="n">
        <v>46066</v>
      </c>
      <c r="B367" s="16" t="inlineStr">
        <is>
          <t>7214/0016</t>
        </is>
      </c>
      <c r="C367" s="16" t="inlineStr">
        <is>
          <t>RECEIPT</t>
        </is>
      </c>
      <c r="D367" s="16" t="n">
        <v>10</v>
      </c>
      <c r="E367" s="16" t="inlineStr">
        <is>
          <t>FOC_TE_06</t>
        </is>
      </c>
      <c r="F367" s="16" t="n"/>
      <c r="G367" s="16" t="inlineStr">
        <is>
          <t>lab.store@jcb.com</t>
        </is>
      </c>
      <c r="H367" s="16" t="n"/>
    </row>
    <row r="368" ht="15" customHeight="1" s="13">
      <c r="A368" s="20" t="n">
        <v>46066</v>
      </c>
      <c r="B368" s="16" t="inlineStr">
        <is>
          <t>7213/0015</t>
        </is>
      </c>
      <c r="C368" s="16" t="inlineStr">
        <is>
          <t>RECEIPT</t>
        </is>
      </c>
      <c r="D368" s="16" t="n">
        <v>5</v>
      </c>
      <c r="E368" s="16" t="inlineStr">
        <is>
          <t>FOC_TE_06</t>
        </is>
      </c>
      <c r="F368" s="16" t="n"/>
      <c r="G368" s="16" t="inlineStr">
        <is>
          <t>lab.store@jcb.com</t>
        </is>
      </c>
      <c r="H368" s="16" t="n"/>
    </row>
    <row r="369" ht="15" customHeight="1" s="13">
      <c r="A369" s="20" t="n">
        <v>46066</v>
      </c>
      <c r="B369" s="16" t="inlineStr">
        <is>
          <t>7201/1137</t>
        </is>
      </c>
      <c r="C369" s="16" t="inlineStr">
        <is>
          <t>RECEIPT</t>
        </is>
      </c>
      <c r="D369" s="16" t="n">
        <v>50</v>
      </c>
      <c r="E369" s="16" t="inlineStr">
        <is>
          <t>FOC_TE_06</t>
        </is>
      </c>
      <c r="F369" s="16" t="n"/>
      <c r="G369" s="16" t="inlineStr">
        <is>
          <t>lab.store@jcb.com</t>
        </is>
      </c>
      <c r="H369" s="16" t="n"/>
    </row>
    <row r="370" ht="15" customHeight="1" s="13">
      <c r="A370" s="20" t="n">
        <v>46066</v>
      </c>
      <c r="B370" s="16" t="inlineStr">
        <is>
          <t>7213/0043</t>
        </is>
      </c>
      <c r="C370" s="16" t="inlineStr">
        <is>
          <t>RECEIPT</t>
        </is>
      </c>
      <c r="D370" s="16" t="n">
        <v>10</v>
      </c>
      <c r="E370" s="16" t="inlineStr">
        <is>
          <t>FOC_TE_06</t>
        </is>
      </c>
      <c r="F370" s="16" t="n"/>
      <c r="G370" s="16" t="inlineStr">
        <is>
          <t>lab.store@jcb.com</t>
        </is>
      </c>
      <c r="H370" s="16" t="n"/>
    </row>
    <row r="371" ht="15" customHeight="1" s="13">
      <c r="A371" s="20" t="n">
        <v>46066</v>
      </c>
      <c r="B371" s="16" t="inlineStr">
        <is>
          <t>7201/0466</t>
        </is>
      </c>
      <c r="C371" s="16" t="inlineStr">
        <is>
          <t>RECEIPT</t>
        </is>
      </c>
      <c r="D371" s="16" t="n">
        <v>100</v>
      </c>
      <c r="E371" s="16" t="inlineStr">
        <is>
          <t>FOC_TE_07</t>
        </is>
      </c>
      <c r="F371" s="16" t="n"/>
      <c r="G371" s="16" t="inlineStr">
        <is>
          <t>lab.store@jcb.com</t>
        </is>
      </c>
      <c r="H371" s="16" t="n"/>
    </row>
    <row r="372" ht="15" customHeight="1" s="13">
      <c r="A372" s="20" t="n">
        <v>46066</v>
      </c>
      <c r="B372" s="16" t="inlineStr">
        <is>
          <t>7201/0470</t>
        </is>
      </c>
      <c r="C372" s="16" t="inlineStr">
        <is>
          <t>RECEIPT</t>
        </is>
      </c>
      <c r="D372" s="16" t="n">
        <v>100</v>
      </c>
      <c r="E372" s="16" t="inlineStr">
        <is>
          <t>FOC_TE_07</t>
        </is>
      </c>
      <c r="F372" s="16" t="n"/>
      <c r="G372" s="16" t="inlineStr">
        <is>
          <t>lab.store@jcb.com</t>
        </is>
      </c>
      <c r="H372" s="16" t="n"/>
    </row>
    <row r="373" ht="15" customHeight="1" s="13">
      <c r="A373" s="20" t="n">
        <v>46066</v>
      </c>
      <c r="B373" s="16" t="inlineStr">
        <is>
          <t>7201/0610</t>
        </is>
      </c>
      <c r="C373" s="16" t="inlineStr">
        <is>
          <t>RECEIPT</t>
        </is>
      </c>
      <c r="D373" s="16" t="n">
        <v>100</v>
      </c>
      <c r="E373" s="16" t="inlineStr">
        <is>
          <t>FOC_TE_07</t>
        </is>
      </c>
      <c r="F373" s="16" t="n"/>
      <c r="G373" s="16" t="inlineStr">
        <is>
          <t>lab.store@jcb.com</t>
        </is>
      </c>
      <c r="H373" s="16" t="n"/>
    </row>
    <row r="374" ht="15" customHeight="1" s="13">
      <c r="A374" s="20" t="n">
        <v>46066</v>
      </c>
      <c r="B374" s="16" t="inlineStr">
        <is>
          <t>7204/0029</t>
        </is>
      </c>
      <c r="C374" s="16" t="inlineStr">
        <is>
          <t>RECEIPT</t>
        </is>
      </c>
      <c r="D374" s="16" t="n">
        <v>100</v>
      </c>
      <c r="E374" s="16" t="inlineStr">
        <is>
          <t>FOC_TE_07</t>
        </is>
      </c>
      <c r="F374" s="16" t="n"/>
      <c r="G374" s="16" t="inlineStr">
        <is>
          <t>lab.store@jcb.com</t>
        </is>
      </c>
      <c r="H374" s="16" t="n"/>
    </row>
    <row r="375" ht="15" customHeight="1" s="13">
      <c r="A375" s="20" t="n">
        <v>46066</v>
      </c>
      <c r="B375" s="16" t="inlineStr">
        <is>
          <t>7201/0016</t>
        </is>
      </c>
      <c r="C375" s="16" t="inlineStr">
        <is>
          <t>RECEIPT</t>
        </is>
      </c>
      <c r="D375" s="16" t="n">
        <v>20</v>
      </c>
      <c r="E375" s="16" t="inlineStr">
        <is>
          <t>FOC_TE_07</t>
        </is>
      </c>
      <c r="F375" s="16" t="n"/>
      <c r="G375" s="16" t="inlineStr">
        <is>
          <t>lab.store@jcb.com</t>
        </is>
      </c>
      <c r="H375" s="16" t="n"/>
    </row>
    <row r="376" ht="15" customHeight="1" s="13">
      <c r="A376" s="20" t="n">
        <v>46066</v>
      </c>
      <c r="B376" s="16" t="inlineStr">
        <is>
          <t>7201/0104</t>
        </is>
      </c>
      <c r="C376" s="16" t="inlineStr">
        <is>
          <t>RECEIPT</t>
        </is>
      </c>
      <c r="D376" s="16" t="n">
        <v>50</v>
      </c>
      <c r="E376" s="16" t="inlineStr">
        <is>
          <t>FOC_TE_07</t>
        </is>
      </c>
      <c r="F376" s="16" t="n"/>
      <c r="G376" s="16" t="inlineStr">
        <is>
          <t>lab.store@jcb.com</t>
        </is>
      </c>
      <c r="H376" s="16" t="n"/>
    </row>
    <row r="377" ht="15" customHeight="1" s="13">
      <c r="A377" s="20" t="n">
        <v>46066</v>
      </c>
      <c r="B377" s="16" t="inlineStr">
        <is>
          <t>7213/0016</t>
        </is>
      </c>
      <c r="C377" s="16" t="inlineStr">
        <is>
          <t>RECEIPT</t>
        </is>
      </c>
      <c r="D377" s="16" t="n">
        <v>10</v>
      </c>
      <c r="E377" s="16" t="inlineStr">
        <is>
          <t>FOC_TE_07</t>
        </is>
      </c>
      <c r="F377" s="16" t="n"/>
      <c r="G377" s="16" t="inlineStr">
        <is>
          <t>lab.store@jcb.com</t>
        </is>
      </c>
      <c r="H377" s="16" t="n"/>
    </row>
    <row r="378" ht="15" customHeight="1" s="13">
      <c r="A378" s="20" t="n">
        <v>46066</v>
      </c>
      <c r="B378" s="16" t="inlineStr">
        <is>
          <t>7210/0052</t>
        </is>
      </c>
      <c r="C378" s="16" t="inlineStr">
        <is>
          <t>RECEIPT</t>
        </is>
      </c>
      <c r="D378" s="16" t="n">
        <v>125</v>
      </c>
      <c r="E378" s="16" t="inlineStr">
        <is>
          <t>FOC_TE_07</t>
        </is>
      </c>
      <c r="F378" s="16" t="n"/>
      <c r="G378" s="16" t="inlineStr">
        <is>
          <t>lab.store@jcb.com</t>
        </is>
      </c>
      <c r="H378" s="16" t="n"/>
    </row>
    <row r="379" ht="15" customHeight="1" s="13">
      <c r="A379" s="20" t="n">
        <v>46066</v>
      </c>
      <c r="B379" s="16" t="inlineStr">
        <is>
          <t>7201/0070</t>
        </is>
      </c>
      <c r="C379" s="16" t="inlineStr">
        <is>
          <t>RECEIPT</t>
        </is>
      </c>
      <c r="D379" s="16" t="n">
        <v>50</v>
      </c>
      <c r="E379" s="16" t="inlineStr">
        <is>
          <t>FOC_TE_07</t>
        </is>
      </c>
      <c r="F379" s="16" t="n"/>
      <c r="G379" s="16" t="inlineStr">
        <is>
          <t>lab.store@jcb.com</t>
        </is>
      </c>
      <c r="H379" s="16" t="n"/>
    </row>
    <row r="380" ht="15" customHeight="1" s="13">
      <c r="A380" s="20" t="n">
        <v>46066</v>
      </c>
      <c r="B380" s="16" t="inlineStr">
        <is>
          <t>7201/0016</t>
        </is>
      </c>
      <c r="C380" s="16" t="inlineStr">
        <is>
          <t>RECEIPT</t>
        </is>
      </c>
      <c r="D380" s="16" t="n">
        <v>50</v>
      </c>
      <c r="E380" s="16" t="inlineStr">
        <is>
          <t>FOC_TE_07</t>
        </is>
      </c>
      <c r="F380" s="16" t="n"/>
      <c r="G380" s="16" t="inlineStr">
        <is>
          <t>lab.store@jcb.com</t>
        </is>
      </c>
      <c r="H380" s="16" t="n"/>
    </row>
    <row r="381" ht="15" customHeight="1" s="13">
      <c r="A381" s="20" t="n">
        <v>46066</v>
      </c>
      <c r="B381" s="16" t="inlineStr">
        <is>
          <t>7212/0044</t>
        </is>
      </c>
      <c r="C381" s="16" t="inlineStr">
        <is>
          <t>RECEIPT</t>
        </is>
      </c>
      <c r="D381" s="16" t="n">
        <v>10</v>
      </c>
      <c r="E381" s="16" t="inlineStr">
        <is>
          <t>FOC_TE_08</t>
        </is>
      </c>
      <c r="F381" s="16" t="n"/>
      <c r="G381" s="16" t="inlineStr">
        <is>
          <t>lab.store@jcb.com</t>
        </is>
      </c>
      <c r="H381" s="16" t="n"/>
    </row>
    <row r="382" ht="15" customHeight="1" s="13">
      <c r="A382" s="20" t="n">
        <v>46066</v>
      </c>
      <c r="B382" s="16" t="inlineStr">
        <is>
          <t>7210/0088</t>
        </is>
      </c>
      <c r="C382" s="16" t="inlineStr">
        <is>
          <t>RECEIPT</t>
        </is>
      </c>
      <c r="D382" s="16" t="n">
        <v>10</v>
      </c>
      <c r="E382" s="16" t="inlineStr">
        <is>
          <t>FOC_TE_08</t>
        </is>
      </c>
      <c r="F382" s="16" t="n"/>
      <c r="G382" s="16" t="inlineStr">
        <is>
          <t>lab.store@jcb.com</t>
        </is>
      </c>
      <c r="H382" s="16" t="n"/>
    </row>
    <row r="383" ht="15" customHeight="1" s="13">
      <c r="A383" s="20" t="n">
        <v>46066</v>
      </c>
      <c r="B383" s="16" t="inlineStr">
        <is>
          <t>7201/1032</t>
        </is>
      </c>
      <c r="C383" s="16" t="inlineStr">
        <is>
          <t>RECEIPT</t>
        </is>
      </c>
      <c r="D383" s="16" t="n">
        <v>70</v>
      </c>
      <c r="E383" s="16" t="inlineStr">
        <is>
          <t>FOC_TE_08</t>
        </is>
      </c>
      <c r="F383" s="16" t="n"/>
      <c r="G383" s="16" t="inlineStr">
        <is>
          <t>lab.store@jcb.com</t>
        </is>
      </c>
      <c r="H383" s="16" t="n"/>
    </row>
    <row r="384" ht="15" customHeight="1" s="13">
      <c r="A384" s="20" t="n">
        <v>46066</v>
      </c>
      <c r="B384" s="16" t="inlineStr">
        <is>
          <t>7204/0028</t>
        </is>
      </c>
      <c r="C384" s="16" t="inlineStr">
        <is>
          <t>RECEIPT</t>
        </is>
      </c>
      <c r="D384" s="16" t="n">
        <v>50</v>
      </c>
      <c r="E384" s="16" t="inlineStr">
        <is>
          <t>FOC_TE_08</t>
        </is>
      </c>
      <c r="F384" s="16" t="n"/>
      <c r="G384" s="16" t="inlineStr">
        <is>
          <t>lab.store@jcb.com</t>
        </is>
      </c>
      <c r="H384" s="16" t="n"/>
    </row>
    <row r="385" ht="15" customHeight="1" s="13">
      <c r="A385" s="20" t="n">
        <v>46066</v>
      </c>
      <c r="B385" s="16" t="inlineStr">
        <is>
          <t>7201/0724</t>
        </is>
      </c>
      <c r="C385" s="16" t="inlineStr">
        <is>
          <t>RECEIPT</t>
        </is>
      </c>
      <c r="D385" s="16" t="n">
        <v>70</v>
      </c>
      <c r="E385" s="16" t="inlineStr">
        <is>
          <t>FOC_TE_08</t>
        </is>
      </c>
      <c r="F385" s="16" t="n"/>
      <c r="G385" s="16" t="inlineStr">
        <is>
          <t>lab.store@jcb.com</t>
        </is>
      </c>
      <c r="H385" s="16" t="n"/>
    </row>
    <row r="386" ht="15" customHeight="1" s="13">
      <c r="A386" s="20" t="n">
        <v>46066</v>
      </c>
      <c r="B386" s="16" t="inlineStr">
        <is>
          <t>7210/0330</t>
        </is>
      </c>
      <c r="C386" s="16" t="inlineStr">
        <is>
          <t>RECEIPT</t>
        </is>
      </c>
      <c r="D386" s="16" t="n">
        <v>10</v>
      </c>
      <c r="E386" s="16" t="inlineStr">
        <is>
          <t>FOC_TE_08</t>
        </is>
      </c>
      <c r="F386" s="16" t="n"/>
      <c r="G386" s="16" t="inlineStr">
        <is>
          <t>lab.store@jcb.com</t>
        </is>
      </c>
      <c r="H386" s="16" t="n"/>
    </row>
    <row r="387" ht="15" customHeight="1" s="13">
      <c r="A387" s="20" t="n">
        <v>46066</v>
      </c>
      <c r="B387" s="16" t="inlineStr">
        <is>
          <t>7204/0113</t>
        </is>
      </c>
      <c r="C387" s="16" t="inlineStr">
        <is>
          <t>RECEIPT</t>
        </is>
      </c>
      <c r="D387" s="16" t="n">
        <v>70</v>
      </c>
      <c r="E387" s="16" t="inlineStr">
        <is>
          <t>FOC_TE_08</t>
        </is>
      </c>
      <c r="F387" s="16" t="n"/>
      <c r="G387" s="16" t="inlineStr">
        <is>
          <t>lab.store@jcb.com</t>
        </is>
      </c>
      <c r="H387" s="16" t="n"/>
    </row>
    <row r="388" ht="15" customHeight="1" s="13">
      <c r="A388" s="20" t="n">
        <v>46066</v>
      </c>
      <c r="B388" s="16" t="inlineStr">
        <is>
          <t>7204/0114</t>
        </is>
      </c>
      <c r="C388" s="16" t="inlineStr">
        <is>
          <t>RECEIPT</t>
        </is>
      </c>
      <c r="D388" s="16" t="n">
        <v>70</v>
      </c>
      <c r="E388" s="16" t="inlineStr">
        <is>
          <t>FOC_TE_09</t>
        </is>
      </c>
      <c r="F388" s="16" t="n"/>
      <c r="G388" s="16" t="inlineStr">
        <is>
          <t>lab.store@jcb.com</t>
        </is>
      </c>
      <c r="H388" s="16" t="n"/>
    </row>
    <row r="389" ht="15" customHeight="1" s="13">
      <c r="A389" s="20" t="n">
        <v>46066</v>
      </c>
      <c r="B389" s="16" t="inlineStr">
        <is>
          <t>7201/1132</t>
        </is>
      </c>
      <c r="C389" s="16" t="inlineStr">
        <is>
          <t>RECEIPT</t>
        </is>
      </c>
      <c r="D389" s="16" t="n">
        <v>100</v>
      </c>
      <c r="E389" s="16" t="inlineStr">
        <is>
          <t>FOC_TE_09</t>
        </is>
      </c>
      <c r="F389" s="16" t="n"/>
      <c r="G389" s="16" t="inlineStr">
        <is>
          <t>lab.store@jcb.com</t>
        </is>
      </c>
      <c r="H389" s="16" t="n"/>
    </row>
    <row r="390" ht="15" customHeight="1" s="13">
      <c r="A390" s="20" t="n">
        <v>46066</v>
      </c>
      <c r="B390" s="16" t="inlineStr">
        <is>
          <t>7210/0052</t>
        </is>
      </c>
      <c r="C390" s="16" t="inlineStr">
        <is>
          <t>RECEIPT</t>
        </is>
      </c>
      <c r="D390" s="16" t="n">
        <v>25</v>
      </c>
      <c r="E390" s="16" t="inlineStr">
        <is>
          <t>FOC_TE_09</t>
        </is>
      </c>
      <c r="F390" s="16" t="n"/>
      <c r="G390" s="16" t="inlineStr">
        <is>
          <t>lab.store@jcb.com</t>
        </is>
      </c>
      <c r="H390" s="16" t="n"/>
    </row>
    <row r="391" ht="15" customHeight="1" s="13">
      <c r="A391" s="20" t="n">
        <v>46066</v>
      </c>
      <c r="B391" s="16" t="inlineStr">
        <is>
          <t>7201/0070</t>
        </is>
      </c>
      <c r="C391" s="16" t="inlineStr">
        <is>
          <t>RECEIPT</t>
        </is>
      </c>
      <c r="D391" s="16" t="n">
        <v>47</v>
      </c>
      <c r="E391" s="16" t="inlineStr">
        <is>
          <t>FOC_TE_09</t>
        </is>
      </c>
      <c r="F391" s="16" t="n"/>
      <c r="G391" s="16" t="inlineStr">
        <is>
          <t>lab.store@jcb.com</t>
        </is>
      </c>
      <c r="H391" s="16" t="n"/>
    </row>
    <row r="392" ht="15" customHeight="1" s="13">
      <c r="A392" s="20" t="n">
        <v>46066</v>
      </c>
      <c r="B392" s="16" t="inlineStr">
        <is>
          <t>7210/0241</t>
        </is>
      </c>
      <c r="C392" s="16" t="inlineStr">
        <is>
          <t>RECEIPT</t>
        </is>
      </c>
      <c r="D392" s="16" t="n">
        <v>10</v>
      </c>
      <c r="E392" s="16" t="inlineStr">
        <is>
          <t>FOC_TE_09</t>
        </is>
      </c>
      <c r="F392" s="16" t="n"/>
      <c r="G392" s="16" t="inlineStr">
        <is>
          <t>lab.store@jcb.com</t>
        </is>
      </c>
      <c r="H392" s="16" t="n"/>
    </row>
    <row r="393" ht="15" customHeight="1" s="13">
      <c r="A393" s="20" t="n">
        <v>46066</v>
      </c>
      <c r="B393" s="16" t="inlineStr">
        <is>
          <t>7204/0029</t>
        </is>
      </c>
      <c r="C393" s="16" t="inlineStr">
        <is>
          <t>RECEIPT</t>
        </is>
      </c>
      <c r="D393" s="16" t="n">
        <v>47</v>
      </c>
      <c r="E393" s="16" t="inlineStr">
        <is>
          <t>FOC_TE_09</t>
        </is>
      </c>
      <c r="F393" s="16" t="n"/>
      <c r="G393" s="16" t="inlineStr">
        <is>
          <t>lab.store@jcb.com</t>
        </is>
      </c>
      <c r="H393" s="16" t="n"/>
    </row>
    <row r="394" ht="15" customHeight="1" s="13">
      <c r="A394" s="20" t="n">
        <v>46066</v>
      </c>
      <c r="B394" s="16" t="inlineStr">
        <is>
          <t>7204/0001</t>
        </is>
      </c>
      <c r="C394" s="16" t="inlineStr">
        <is>
          <t>RECEIPT</t>
        </is>
      </c>
      <c r="D394" s="16" t="n">
        <v>100</v>
      </c>
      <c r="E394" s="16" t="inlineStr">
        <is>
          <t>FOC_TE_09</t>
        </is>
      </c>
      <c r="F394" s="16" t="n"/>
      <c r="G394" s="16" t="inlineStr">
        <is>
          <t>lab.store@jcb.com</t>
        </is>
      </c>
      <c r="H394" s="16" t="n"/>
    </row>
    <row r="395" ht="15" customHeight="1" s="13">
      <c r="A395" s="20" t="n">
        <v>46066</v>
      </c>
      <c r="B395" s="16" t="inlineStr">
        <is>
          <t>7201/1132</t>
        </is>
      </c>
      <c r="C395" s="16" t="inlineStr">
        <is>
          <t>RECEIPT</t>
        </is>
      </c>
      <c r="D395" s="16" t="n">
        <v>100</v>
      </c>
      <c r="E395" s="16" t="inlineStr">
        <is>
          <t>FOC_TE_09</t>
        </is>
      </c>
      <c r="F395" s="16" t="n"/>
      <c r="G395" s="16" t="inlineStr">
        <is>
          <t>lab.store@jcb.com</t>
        </is>
      </c>
      <c r="H395" s="16" t="n"/>
    </row>
    <row r="396" ht="15" customHeight="1" s="13">
      <c r="A396" s="20" t="n">
        <v>46066</v>
      </c>
      <c r="B396" s="16" t="inlineStr">
        <is>
          <t>7201/0746</t>
        </is>
      </c>
      <c r="C396" s="16" t="inlineStr">
        <is>
          <t>RECEIPT</t>
        </is>
      </c>
      <c r="D396" s="16" t="n">
        <v>100</v>
      </c>
      <c r="E396" s="16" t="inlineStr">
        <is>
          <t>FOC_TE_09</t>
        </is>
      </c>
      <c r="F396" s="16" t="n"/>
      <c r="G396" s="16" t="inlineStr">
        <is>
          <t>lab.store@jcb.com</t>
        </is>
      </c>
      <c r="H396" s="16" t="n"/>
    </row>
    <row r="397" ht="15" customHeight="1" s="13">
      <c r="A397" s="20" t="n">
        <v>46066</v>
      </c>
      <c r="B397" s="16" t="inlineStr">
        <is>
          <t>7243/0575</t>
        </is>
      </c>
      <c r="C397" s="16" t="inlineStr">
        <is>
          <t>RECEIPT</t>
        </is>
      </c>
      <c r="D397" s="16" t="n">
        <v>10</v>
      </c>
      <c r="E397" s="16" t="inlineStr">
        <is>
          <t>FOC_TE_10</t>
        </is>
      </c>
      <c r="F397" s="16" t="n"/>
      <c r="G397" s="16" t="inlineStr">
        <is>
          <t>lab.store@jcb.com</t>
        </is>
      </c>
      <c r="H397" s="16" t="n"/>
    </row>
    <row r="398" ht="15" customHeight="1" s="13">
      <c r="A398" s="20" t="n">
        <v>46066</v>
      </c>
      <c r="B398" s="16" t="inlineStr">
        <is>
          <t>7219/0019</t>
        </is>
      </c>
      <c r="C398" s="16" t="inlineStr">
        <is>
          <t>RECEIPT</t>
        </is>
      </c>
      <c r="D398" s="16" t="n">
        <v>10</v>
      </c>
      <c r="E398" s="16" t="inlineStr">
        <is>
          <t>FOC_TE_10</t>
        </is>
      </c>
      <c r="F398" s="16" t="n"/>
      <c r="G398" s="16" t="inlineStr">
        <is>
          <t>lab.store@jcb.com</t>
        </is>
      </c>
      <c r="H398" s="16" t="n"/>
    </row>
    <row r="399" ht="15" customHeight="1" s="13">
      <c r="A399" s="20" t="n">
        <v>46066</v>
      </c>
      <c r="B399" s="16" t="inlineStr">
        <is>
          <t>7219/0494</t>
        </is>
      </c>
      <c r="C399" s="16" t="inlineStr">
        <is>
          <t>RECEIPT</t>
        </is>
      </c>
      <c r="D399" s="16" t="n">
        <v>3</v>
      </c>
      <c r="E399" s="16" t="inlineStr">
        <is>
          <t>FOC_TE_11</t>
        </is>
      </c>
      <c r="F399" s="16" t="n"/>
      <c r="G399" s="16" t="inlineStr">
        <is>
          <t>lab.store@jcb.com</t>
        </is>
      </c>
      <c r="H399" s="16" t="n"/>
    </row>
    <row r="400" ht="15" customHeight="1" s="13">
      <c r="A400" s="20" t="n">
        <v>46066</v>
      </c>
      <c r="B400" s="16" t="inlineStr">
        <is>
          <t>403/T6925</t>
        </is>
      </c>
      <c r="C400" s="16" t="inlineStr">
        <is>
          <t>RECEIPT</t>
        </is>
      </c>
      <c r="D400" s="16" t="n">
        <v>11</v>
      </c>
      <c r="E400" s="16" t="inlineStr">
        <is>
          <t>FOC_TE_11</t>
        </is>
      </c>
      <c r="F400" s="16" t="n"/>
      <c r="G400" s="16" t="inlineStr">
        <is>
          <t>lab.store@jcb.com</t>
        </is>
      </c>
      <c r="H400" s="16" t="n"/>
    </row>
    <row r="401" ht="15" customHeight="1" s="13">
      <c r="A401" s="20" t="n">
        <v>46066</v>
      </c>
      <c r="B401" s="16" t="inlineStr">
        <is>
          <t>7212/0113</t>
        </is>
      </c>
      <c r="C401" s="16" t="inlineStr">
        <is>
          <t>RECEIPT</t>
        </is>
      </c>
      <c r="D401" s="16" t="n">
        <v>25</v>
      </c>
      <c r="E401" s="16" t="inlineStr">
        <is>
          <t>FOC_TE_11</t>
        </is>
      </c>
      <c r="F401" s="16" t="n"/>
      <c r="G401" s="16" t="inlineStr">
        <is>
          <t>lab.store@jcb.com</t>
        </is>
      </c>
      <c r="H401" s="16" t="n"/>
    </row>
    <row r="402" ht="15" customHeight="1" s="13">
      <c r="A402" s="20" t="n">
        <v>46066</v>
      </c>
      <c r="B402" s="16" t="inlineStr">
        <is>
          <t>7219/0309</t>
        </is>
      </c>
      <c r="C402" s="16" t="inlineStr">
        <is>
          <t>RECEIPT</t>
        </is>
      </c>
      <c r="D402" s="16" t="n">
        <v>10</v>
      </c>
      <c r="E402" s="16" t="inlineStr">
        <is>
          <t>FOC_TE_11</t>
        </is>
      </c>
      <c r="F402" s="16" t="n"/>
      <c r="G402" s="16" t="inlineStr">
        <is>
          <t>lab.store@jcb.com</t>
        </is>
      </c>
      <c r="H402" s="16" t="n"/>
    </row>
    <row r="403" ht="15" customHeight="1" s="13">
      <c r="A403" s="20" t="n">
        <v>46066</v>
      </c>
      <c r="B403" s="16" t="inlineStr">
        <is>
          <t>7219/0075</t>
        </is>
      </c>
      <c r="C403" s="16" t="inlineStr">
        <is>
          <t>RECEIPT</t>
        </is>
      </c>
      <c r="D403" s="16" t="n">
        <v>10</v>
      </c>
      <c r="E403" s="16" t="inlineStr">
        <is>
          <t>FOC_TE_11</t>
        </is>
      </c>
      <c r="F403" s="16" t="n"/>
      <c r="G403" s="16" t="inlineStr">
        <is>
          <t>lab.store@jcb.com</t>
        </is>
      </c>
      <c r="H403" s="16" t="n"/>
    </row>
    <row r="404" ht="15" customHeight="1" s="13">
      <c r="A404" s="20" t="n">
        <v>46066</v>
      </c>
      <c r="B404" s="16" t="inlineStr">
        <is>
          <t>7219/0310</t>
        </is>
      </c>
      <c r="C404" s="16" t="inlineStr">
        <is>
          <t>RECEIPT</t>
        </is>
      </c>
      <c r="D404" s="16" t="n">
        <v>10</v>
      </c>
      <c r="E404" s="16" t="inlineStr">
        <is>
          <t>FOC_TE_11</t>
        </is>
      </c>
      <c r="F404" s="16" t="n"/>
      <c r="G404" s="16" t="inlineStr">
        <is>
          <t>lab.store@jcb.com</t>
        </is>
      </c>
      <c r="H404" s="16" t="n"/>
    </row>
    <row r="405" ht="15" customHeight="1" s="13">
      <c r="A405" s="20" t="n">
        <v>46066</v>
      </c>
      <c r="B405" s="16" t="inlineStr">
        <is>
          <t>7212/0081</t>
        </is>
      </c>
      <c r="C405" s="16" t="inlineStr">
        <is>
          <t>RECEIPT</t>
        </is>
      </c>
      <c r="D405" s="16" t="n">
        <v>10</v>
      </c>
      <c r="E405" s="16" t="inlineStr">
        <is>
          <t>FOC_TE_11</t>
        </is>
      </c>
      <c r="F405" s="16" t="n"/>
      <c r="G405" s="16" t="inlineStr">
        <is>
          <t>lab.store@jcb.com</t>
        </is>
      </c>
      <c r="H405" s="16" t="n"/>
    </row>
    <row r="406" ht="15" customHeight="1" s="13">
      <c r="A406" s="20" t="n">
        <v>46066</v>
      </c>
      <c r="B406" s="16" t="inlineStr">
        <is>
          <t>7231/0015</t>
        </is>
      </c>
      <c r="C406" s="16" t="inlineStr">
        <is>
          <t>RECEIPT</t>
        </is>
      </c>
      <c r="D406" s="16" t="n">
        <v>20</v>
      </c>
      <c r="E406" s="16" t="inlineStr">
        <is>
          <t>FOC_TE_11</t>
        </is>
      </c>
      <c r="F406" s="16" t="n"/>
      <c r="G406" s="16" t="inlineStr">
        <is>
          <t>lab.store@jcb.com</t>
        </is>
      </c>
      <c r="H406" s="16" t="n"/>
    </row>
    <row r="407" ht="15" customHeight="1" s="13">
      <c r="A407" s="20" t="n">
        <v>46066</v>
      </c>
      <c r="B407" s="16" t="inlineStr">
        <is>
          <t>7212/0013</t>
        </is>
      </c>
      <c r="C407" s="16" t="inlineStr">
        <is>
          <t>RECEIPT</t>
        </is>
      </c>
      <c r="D407" s="16" t="n">
        <v>10</v>
      </c>
      <c r="E407" s="16" t="inlineStr">
        <is>
          <t>FOC_TE_11</t>
        </is>
      </c>
      <c r="F407" s="16" t="n"/>
      <c r="G407" s="16" t="inlineStr">
        <is>
          <t>lab.store@jcb.com</t>
        </is>
      </c>
      <c r="H407" s="16" t="n"/>
    </row>
    <row r="408" ht="15" customHeight="1" s="13">
      <c r="A408" s="20" t="n">
        <v>46066</v>
      </c>
      <c r="B408" s="16" t="inlineStr">
        <is>
          <t>7212/0179</t>
        </is>
      </c>
      <c r="C408" s="16" t="inlineStr">
        <is>
          <t>RECEIPT</t>
        </is>
      </c>
      <c r="D408" s="16" t="n">
        <v>10</v>
      </c>
      <c r="E408" s="16" t="inlineStr">
        <is>
          <t>FOC_TE_11</t>
        </is>
      </c>
      <c r="F408" s="16" t="n"/>
      <c r="G408" s="16" t="inlineStr">
        <is>
          <t>lab.store@jcb.com</t>
        </is>
      </c>
      <c r="H408" s="16" t="n"/>
    </row>
    <row r="409" ht="15" customHeight="1" s="13">
      <c r="A409" s="20" t="n">
        <v>46066</v>
      </c>
      <c r="B409" s="16" t="inlineStr">
        <is>
          <t>727/00002</t>
        </is>
      </c>
      <c r="C409" s="16" t="inlineStr">
        <is>
          <t>RECEIPT</t>
        </is>
      </c>
      <c r="D409" s="16" t="n">
        <v>10</v>
      </c>
      <c r="E409" s="16" t="inlineStr">
        <is>
          <t>FOC_TE_11</t>
        </is>
      </c>
      <c r="F409" s="16" t="n"/>
      <c r="G409" s="16" t="inlineStr">
        <is>
          <t>lab.store@jcb.com</t>
        </is>
      </c>
      <c r="H409" s="16" t="n"/>
    </row>
    <row r="410" ht="15" customHeight="1" s="13">
      <c r="A410" s="20" t="n">
        <v>46066</v>
      </c>
      <c r="B410" s="16" t="inlineStr">
        <is>
          <t>7213/0080</t>
        </is>
      </c>
      <c r="C410" s="16" t="inlineStr">
        <is>
          <t>RECEIPT</t>
        </is>
      </c>
      <c r="D410" s="16" t="n">
        <v>10</v>
      </c>
      <c r="E410" s="16" t="inlineStr">
        <is>
          <t>FOC_TE_11</t>
        </is>
      </c>
      <c r="F410" s="16" t="n"/>
      <c r="G410" s="16" t="inlineStr">
        <is>
          <t>lab.store@jcb.com</t>
        </is>
      </c>
      <c r="H410" s="16" t="n"/>
    </row>
    <row r="411" ht="15" customHeight="1" s="13">
      <c r="A411" s="20" t="n">
        <v>46066</v>
      </c>
      <c r="B411" s="16" t="inlineStr">
        <is>
          <t>7213/0031</t>
        </is>
      </c>
      <c r="C411" s="16" t="inlineStr">
        <is>
          <t>RECEIPT</t>
        </is>
      </c>
      <c r="D411" s="16" t="n">
        <v>10</v>
      </c>
      <c r="E411" s="16" t="inlineStr">
        <is>
          <t>FOC_TE_11</t>
        </is>
      </c>
      <c r="F411" s="16" t="n"/>
      <c r="G411" s="16" t="inlineStr">
        <is>
          <t>lab.store@jcb.com</t>
        </is>
      </c>
      <c r="H411" s="16" t="n"/>
    </row>
    <row r="412" ht="15" customHeight="1" s="13">
      <c r="A412" s="20" t="n">
        <v>46066</v>
      </c>
      <c r="B412" s="16" t="inlineStr">
        <is>
          <t>7212/0203</t>
        </is>
      </c>
      <c r="C412" s="16" t="inlineStr">
        <is>
          <t>RECEIPT</t>
        </is>
      </c>
      <c r="D412" s="16" t="n">
        <v>5</v>
      </c>
      <c r="E412" s="16" t="inlineStr">
        <is>
          <t>FOC_TE_11</t>
        </is>
      </c>
      <c r="F412" s="16" t="n"/>
      <c r="G412" s="16" t="inlineStr">
        <is>
          <t>lab.store@jcb.com</t>
        </is>
      </c>
      <c r="H412" s="16" t="n"/>
    </row>
    <row r="413" ht="15" customHeight="1" s="13">
      <c r="A413" s="20" t="n">
        <v>46066</v>
      </c>
      <c r="B413" s="16" t="inlineStr">
        <is>
          <t>7219/0271</t>
        </is>
      </c>
      <c r="C413" s="16" t="inlineStr">
        <is>
          <t>RECEIPT</t>
        </is>
      </c>
      <c r="D413" s="16" t="n">
        <v>5</v>
      </c>
      <c r="E413" s="16" t="inlineStr">
        <is>
          <t>FOC_TE_11</t>
        </is>
      </c>
      <c r="F413" s="16" t="n"/>
      <c r="G413" s="16" t="inlineStr">
        <is>
          <t>lab.store@jcb.com</t>
        </is>
      </c>
      <c r="H413" s="16" t="n"/>
    </row>
    <row r="414" ht="15" customHeight="1" s="13">
      <c r="A414" s="20" t="n">
        <v>46066</v>
      </c>
      <c r="B414" s="16" t="inlineStr">
        <is>
          <t>7219/0403</t>
        </is>
      </c>
      <c r="C414" s="16" t="inlineStr">
        <is>
          <t>RECEIPT</t>
        </is>
      </c>
      <c r="D414" s="16" t="n">
        <v>10</v>
      </c>
      <c r="E414" s="16" t="inlineStr">
        <is>
          <t>FOC_TE_11</t>
        </is>
      </c>
      <c r="F414" s="16" t="n"/>
      <c r="G414" s="16" t="inlineStr">
        <is>
          <t>lab.store@jcb.com</t>
        </is>
      </c>
      <c r="H414" s="16" t="n"/>
    </row>
    <row r="415" ht="15" customHeight="1" s="13">
      <c r="A415" s="20" t="n">
        <v>46066</v>
      </c>
      <c r="B415" s="16" t="inlineStr">
        <is>
          <t>7219/0272</t>
        </is>
      </c>
      <c r="C415" s="16" t="inlineStr">
        <is>
          <t>RECEIPT</t>
        </is>
      </c>
      <c r="D415" s="16" t="n">
        <v>5</v>
      </c>
      <c r="E415" s="16" t="inlineStr">
        <is>
          <t>FOC_TE_11</t>
        </is>
      </c>
      <c r="F415" s="16" t="n"/>
      <c r="G415" s="16" t="inlineStr">
        <is>
          <t>lab.store@jcb.com</t>
        </is>
      </c>
      <c r="H415" s="16" t="n"/>
    </row>
    <row r="416" ht="15" customHeight="1" s="13">
      <c r="A416" s="20" t="n">
        <v>46066</v>
      </c>
      <c r="B416" s="16" t="inlineStr">
        <is>
          <t>7216/0018</t>
        </is>
      </c>
      <c r="C416" s="16" t="inlineStr">
        <is>
          <t>RECEIPT</t>
        </is>
      </c>
      <c r="D416" s="16" t="n">
        <v>10</v>
      </c>
      <c r="E416" s="16" t="inlineStr">
        <is>
          <t>FOC_TE_11</t>
        </is>
      </c>
      <c r="F416" s="16" t="n"/>
      <c r="G416" s="16" t="inlineStr">
        <is>
          <t>lab.store@jcb.com</t>
        </is>
      </c>
      <c r="H416" s="16" t="n"/>
    </row>
    <row r="417" ht="15" customHeight="1" s="13">
      <c r="A417" s="20" t="n">
        <v>46066</v>
      </c>
      <c r="B417" s="16" t="inlineStr">
        <is>
          <t>7214/0024</t>
        </is>
      </c>
      <c r="C417" s="16" t="inlineStr">
        <is>
          <t>RECEIPT</t>
        </is>
      </c>
      <c r="D417" s="16" t="n">
        <v>10</v>
      </c>
      <c r="E417" s="16" t="inlineStr">
        <is>
          <t>FOC_TE_11</t>
        </is>
      </c>
      <c r="F417" s="16" t="n"/>
      <c r="G417" s="16" t="inlineStr">
        <is>
          <t>lab.store@jcb.com</t>
        </is>
      </c>
      <c r="H417" s="16" t="n"/>
    </row>
    <row r="418" ht="15" customHeight="1" s="13">
      <c r="A418" s="20" t="n">
        <v>46066</v>
      </c>
      <c r="B418" s="16" t="inlineStr">
        <is>
          <t>7219/0169</t>
        </is>
      </c>
      <c r="C418" s="16" t="inlineStr">
        <is>
          <t>RECEIPT</t>
        </is>
      </c>
      <c r="D418" s="16" t="n">
        <v>10</v>
      </c>
      <c r="E418" s="16" t="inlineStr">
        <is>
          <t>FOC_TE_11</t>
        </is>
      </c>
      <c r="F418" s="16" t="n"/>
      <c r="G418" s="16" t="inlineStr">
        <is>
          <t>lab.store@jcb.com</t>
        </is>
      </c>
      <c r="H418" s="16" t="n"/>
    </row>
    <row r="419" ht="15" customHeight="1" s="13">
      <c r="A419" s="20" t="n">
        <v>46066</v>
      </c>
      <c r="B419" s="16" t="inlineStr">
        <is>
          <t>7210/0013</t>
        </is>
      </c>
      <c r="C419" s="16" t="inlineStr">
        <is>
          <t>RECEIPT</t>
        </is>
      </c>
      <c r="D419" s="16" t="n">
        <v>100</v>
      </c>
      <c r="E419" s="16" t="inlineStr">
        <is>
          <t>FOC_TE_11</t>
        </is>
      </c>
      <c r="F419" s="16" t="n"/>
      <c r="G419" s="16" t="inlineStr">
        <is>
          <t>lab.store@jcb.com</t>
        </is>
      </c>
      <c r="H419" s="16" t="n"/>
    </row>
    <row r="420" ht="15" customHeight="1" s="13">
      <c r="A420" s="20" t="n">
        <v>46066</v>
      </c>
      <c r="B420" s="16" t="inlineStr">
        <is>
          <t>7213/0031</t>
        </is>
      </c>
      <c r="C420" s="16" t="inlineStr">
        <is>
          <t>RECEIPT</t>
        </is>
      </c>
      <c r="D420" s="16" t="n">
        <v>17</v>
      </c>
      <c r="E420" s="16" t="inlineStr">
        <is>
          <t>FOC_TE_11</t>
        </is>
      </c>
      <c r="F420" s="16" t="n"/>
      <c r="G420" s="16" t="inlineStr">
        <is>
          <t>lab.store@jcb.com</t>
        </is>
      </c>
      <c r="H420" s="16" t="n"/>
    </row>
    <row r="421" ht="15" customHeight="1" s="13">
      <c r="A421" s="20" t="n">
        <v>46066</v>
      </c>
      <c r="B421" s="16" t="inlineStr">
        <is>
          <t>7201/0843</t>
        </is>
      </c>
      <c r="C421" s="16" t="inlineStr">
        <is>
          <t>RECEIPT</t>
        </is>
      </c>
      <c r="D421" s="16" t="n">
        <v>100</v>
      </c>
      <c r="E421" s="16" t="inlineStr">
        <is>
          <t>FOC_TE_11</t>
        </is>
      </c>
      <c r="F421" s="16" t="n"/>
      <c r="G421" s="16" t="inlineStr">
        <is>
          <t>lab.store@jcb.com</t>
        </is>
      </c>
      <c r="H421" s="16" t="n"/>
    </row>
    <row r="422" ht="15" customHeight="1" s="13">
      <c r="A422" s="20" t="n">
        <v>46066</v>
      </c>
      <c r="B422" s="16" t="inlineStr">
        <is>
          <t>7239/0088</t>
        </is>
      </c>
      <c r="C422" s="16" t="inlineStr">
        <is>
          <t>RECEIPT</t>
        </is>
      </c>
      <c r="D422" s="16" t="n">
        <v>20</v>
      </c>
      <c r="E422" s="16" t="inlineStr">
        <is>
          <t>FOC_TE_11</t>
        </is>
      </c>
      <c r="F422" s="16" t="n"/>
      <c r="G422" s="16" t="inlineStr">
        <is>
          <t>lab.store@jcb.com</t>
        </is>
      </c>
      <c r="H422" s="16" t="n"/>
    </row>
    <row r="423" ht="15" customHeight="1" s="13">
      <c r="A423" s="20" t="n">
        <v>46066</v>
      </c>
      <c r="B423" s="16" t="inlineStr">
        <is>
          <t>7219/0018</t>
        </is>
      </c>
      <c r="C423" s="16" t="inlineStr">
        <is>
          <t>RECEIPT</t>
        </is>
      </c>
      <c r="D423" s="16" t="n">
        <v>10</v>
      </c>
      <c r="E423" s="16" t="inlineStr">
        <is>
          <t>FOC_TE_11</t>
        </is>
      </c>
      <c r="F423" s="16" t="n"/>
      <c r="G423" s="16" t="inlineStr">
        <is>
          <t>lab.store@jcb.com</t>
        </is>
      </c>
      <c r="H423" s="16" t="n"/>
    </row>
    <row r="424" ht="15" customHeight="1" s="13">
      <c r="A424" s="20" t="n">
        <v>46066</v>
      </c>
      <c r="B424" s="16" t="inlineStr">
        <is>
          <t>7216/0060</t>
        </is>
      </c>
      <c r="C424" s="16" t="inlineStr">
        <is>
          <t>RECEIPT</t>
        </is>
      </c>
      <c r="D424" s="16" t="n">
        <v>10</v>
      </c>
      <c r="E424" s="16" t="inlineStr">
        <is>
          <t>FOC_TE_11</t>
        </is>
      </c>
      <c r="F424" s="16" t="n"/>
      <c r="G424" s="16" t="inlineStr">
        <is>
          <t>lab.store@jcb.com</t>
        </is>
      </c>
      <c r="H424" s="16" t="n"/>
    </row>
    <row r="425" ht="15" customHeight="1" s="13">
      <c r="A425" s="20" t="n">
        <v>46066</v>
      </c>
      <c r="B425" s="16" t="inlineStr">
        <is>
          <t>7210/0017</t>
        </is>
      </c>
      <c r="C425" s="16" t="inlineStr">
        <is>
          <t>RECEIPT</t>
        </is>
      </c>
      <c r="D425" s="16" t="n">
        <v>100</v>
      </c>
      <c r="E425" s="16" t="inlineStr">
        <is>
          <t>FOC_TE_11</t>
        </is>
      </c>
      <c r="F425" s="16" t="n"/>
      <c r="G425" s="16" t="inlineStr">
        <is>
          <t>lab.store@jcb.com</t>
        </is>
      </c>
      <c r="H425" s="16" t="n"/>
    </row>
    <row r="426" ht="15" customHeight="1" s="13">
      <c r="A426" s="20" t="n">
        <v>46066</v>
      </c>
      <c r="B426" s="16" t="inlineStr">
        <is>
          <t>716/30252</t>
        </is>
      </c>
      <c r="C426" s="16" t="inlineStr">
        <is>
          <t>RECEIPT</t>
        </is>
      </c>
      <c r="D426" s="16" t="n">
        <v>3</v>
      </c>
      <c r="E426" s="16" t="inlineStr">
        <is>
          <t>FOC_TE_11</t>
        </is>
      </c>
      <c r="F426" s="16" t="n"/>
      <c r="G426" s="16" t="inlineStr">
        <is>
          <t>lab.store@jcb.com</t>
        </is>
      </c>
      <c r="H426" s="16" t="n"/>
    </row>
    <row r="427" ht="15" customHeight="1" s="13">
      <c r="A427" s="20" t="n">
        <v>46066</v>
      </c>
      <c r="B427" s="16" t="inlineStr">
        <is>
          <t>7219/0219</t>
        </is>
      </c>
      <c r="C427" s="16" t="inlineStr">
        <is>
          <t>RECEIPT</t>
        </is>
      </c>
      <c r="D427" s="16" t="n">
        <v>5</v>
      </c>
      <c r="E427" s="16" t="inlineStr">
        <is>
          <t>FOC_TE_11</t>
        </is>
      </c>
      <c r="F427" s="16" t="n"/>
      <c r="G427" s="16" t="inlineStr">
        <is>
          <t>lab.store@jcb.com</t>
        </is>
      </c>
      <c r="H427" s="16" t="n"/>
    </row>
    <row r="428" ht="15" customHeight="1" s="13">
      <c r="A428" s="20" t="n">
        <v>46066</v>
      </c>
      <c r="B428" s="16" t="inlineStr">
        <is>
          <t>7219/0402</t>
        </is>
      </c>
      <c r="C428" s="16" t="inlineStr">
        <is>
          <t>RECEIPT</t>
        </is>
      </c>
      <c r="D428" s="16" t="n">
        <v>10</v>
      </c>
      <c r="E428" s="16" t="inlineStr">
        <is>
          <t>FOC_TE_11</t>
        </is>
      </c>
      <c r="F428" s="16" t="n"/>
      <c r="G428" s="16" t="inlineStr">
        <is>
          <t>lab.store@jcb.com</t>
        </is>
      </c>
      <c r="H428" s="16" t="n"/>
    </row>
    <row r="429" ht="15" customHeight="1" s="13">
      <c r="A429" s="20" t="n">
        <v>46066</v>
      </c>
      <c r="B429" s="16" t="inlineStr">
        <is>
          <t>7212/0052</t>
        </is>
      </c>
      <c r="C429" s="16" t="inlineStr">
        <is>
          <t>RECEIPT</t>
        </is>
      </c>
      <c r="D429" s="16" t="n">
        <v>10</v>
      </c>
      <c r="E429" s="16" t="inlineStr">
        <is>
          <t>FOC_TE_11</t>
        </is>
      </c>
      <c r="F429" s="16" t="n"/>
      <c r="G429" s="16" t="inlineStr">
        <is>
          <t>lab.store@jcb.com</t>
        </is>
      </c>
      <c r="H429" s="16" t="n"/>
    </row>
    <row r="430" ht="15" customHeight="1" s="13">
      <c r="A430" s="20" t="n">
        <v>46066</v>
      </c>
      <c r="B430" s="16" t="inlineStr">
        <is>
          <t>7243/0575</t>
        </is>
      </c>
      <c r="C430" s="16" t="inlineStr">
        <is>
          <t>RECEIPT</t>
        </is>
      </c>
      <c r="D430" s="16" t="n">
        <v>10</v>
      </c>
      <c r="E430" s="16" t="inlineStr">
        <is>
          <t>FOC_TE_11</t>
        </is>
      </c>
      <c r="F430" s="16" t="n"/>
      <c r="G430" s="16" t="inlineStr">
        <is>
          <t>lab.store@jcb.com</t>
        </is>
      </c>
      <c r="H430" s="16" t="n"/>
    </row>
    <row r="431" ht="15" customHeight="1" s="13">
      <c r="A431" s="20" t="n">
        <v>46066</v>
      </c>
      <c r="B431" s="16" t="inlineStr">
        <is>
          <t>7213/0099</t>
        </is>
      </c>
      <c r="C431" s="16" t="inlineStr">
        <is>
          <t>RECEIPT</t>
        </is>
      </c>
      <c r="D431" s="16" t="n">
        <v>5</v>
      </c>
      <c r="E431" s="16" t="inlineStr">
        <is>
          <t>FOC_TE_11</t>
        </is>
      </c>
      <c r="F431" s="16" t="n"/>
      <c r="G431" s="16" t="inlineStr">
        <is>
          <t>lab.store@jcb.com</t>
        </is>
      </c>
      <c r="H431" s="16" t="n"/>
    </row>
    <row r="432" ht="15" customHeight="1" s="13">
      <c r="A432" s="20" t="n">
        <v>46066</v>
      </c>
      <c r="B432" s="16" t="inlineStr">
        <is>
          <t>7213/0083</t>
        </is>
      </c>
      <c r="C432" s="16" t="inlineStr">
        <is>
          <t>RECEIPT</t>
        </is>
      </c>
      <c r="D432" s="16" t="n">
        <v>10</v>
      </c>
      <c r="E432" s="16" t="inlineStr">
        <is>
          <t>FOC_TE_11</t>
        </is>
      </c>
      <c r="F432" s="16" t="n"/>
      <c r="G432" s="16" t="inlineStr">
        <is>
          <t>lab.store@jcb.com</t>
        </is>
      </c>
      <c r="H432" s="16" t="n"/>
    </row>
    <row r="433" ht="15" customHeight="1" s="13">
      <c r="A433" s="20" t="n">
        <v>46066</v>
      </c>
      <c r="B433" s="16" t="inlineStr">
        <is>
          <t>7213/0098</t>
        </is>
      </c>
      <c r="C433" s="16" t="inlineStr">
        <is>
          <t>RECEIPT</t>
        </is>
      </c>
      <c r="D433" s="16" t="n">
        <v>5</v>
      </c>
      <c r="E433" s="16" t="inlineStr">
        <is>
          <t>FOC_TE_11</t>
        </is>
      </c>
      <c r="F433" s="16" t="n"/>
      <c r="G433" s="16" t="inlineStr">
        <is>
          <t>lab.store@jcb.com</t>
        </is>
      </c>
      <c r="H433" s="16" t="n"/>
    </row>
    <row r="434" ht="15" customHeight="1" s="13">
      <c r="A434" s="20" t="n">
        <v>46066</v>
      </c>
      <c r="B434" s="16" t="inlineStr">
        <is>
          <t>7219/0019</t>
        </is>
      </c>
      <c r="C434" s="16" t="inlineStr">
        <is>
          <t>RECEIPT</t>
        </is>
      </c>
      <c r="D434" s="16" t="n">
        <v>10</v>
      </c>
      <c r="E434" s="16" t="inlineStr">
        <is>
          <t>FOC_TE_11</t>
        </is>
      </c>
      <c r="F434" s="16" t="n"/>
      <c r="G434" s="16" t="inlineStr">
        <is>
          <t>lab.store@jcb.com</t>
        </is>
      </c>
      <c r="H434" s="16" t="n"/>
    </row>
    <row r="435" ht="15" customHeight="1" s="13">
      <c r="A435" s="20" t="n">
        <v>46066</v>
      </c>
      <c r="B435" s="16" t="inlineStr">
        <is>
          <t>7219/0196</t>
        </is>
      </c>
      <c r="C435" s="16" t="inlineStr">
        <is>
          <t>RECEIPT</t>
        </is>
      </c>
      <c r="D435" s="16" t="n">
        <v>10</v>
      </c>
      <c r="E435" s="16" t="inlineStr">
        <is>
          <t>FOC_TE_11</t>
        </is>
      </c>
      <c r="F435" s="16" t="n"/>
      <c r="G435" s="16" t="inlineStr">
        <is>
          <t>lab.store@jcb.com</t>
        </is>
      </c>
      <c r="H435" s="16" t="n"/>
    </row>
    <row r="436" ht="15" customHeight="1" s="13">
      <c r="A436" s="20" t="n">
        <v>46066</v>
      </c>
      <c r="B436" s="16" t="inlineStr">
        <is>
          <t>7201/0095</t>
        </is>
      </c>
      <c r="C436" s="16" t="inlineStr">
        <is>
          <t>RECEIPT</t>
        </is>
      </c>
      <c r="D436" s="16" t="n">
        <v>70</v>
      </c>
      <c r="E436" s="16" t="inlineStr">
        <is>
          <t>FOC_TE_12</t>
        </is>
      </c>
      <c r="F436" s="16" t="n"/>
      <c r="G436" s="16" t="inlineStr">
        <is>
          <t>lab.store@jcb.com</t>
        </is>
      </c>
      <c r="H436" s="16" t="n"/>
    </row>
    <row r="437" ht="15" customHeight="1" s="13">
      <c r="A437" s="20" t="n">
        <v>46066</v>
      </c>
      <c r="B437" s="16" t="inlineStr">
        <is>
          <t>332/N1497</t>
        </is>
      </c>
      <c r="C437" s="16" t="inlineStr">
        <is>
          <t>RECEIPT</t>
        </is>
      </c>
      <c r="D437" s="16" t="n">
        <v>300</v>
      </c>
      <c r="E437" s="16" t="inlineStr">
        <is>
          <t>FOC_TE_12</t>
        </is>
      </c>
      <c r="F437" s="16" t="n"/>
      <c r="G437" s="16" t="inlineStr">
        <is>
          <t>lab.store@jcb.com</t>
        </is>
      </c>
      <c r="H437" s="16" t="n"/>
    </row>
    <row r="438" ht="15" customHeight="1" s="13">
      <c r="A438" s="20" t="n">
        <v>46066</v>
      </c>
      <c r="B438" s="16" t="inlineStr">
        <is>
          <t>7239/0087</t>
        </is>
      </c>
      <c r="C438" s="16" t="inlineStr">
        <is>
          <t>RECEIPT</t>
        </is>
      </c>
      <c r="D438" s="16" t="n">
        <v>20</v>
      </c>
      <c r="E438" s="16" t="inlineStr">
        <is>
          <t>FOC_TE_12</t>
        </is>
      </c>
      <c r="F438" s="16" t="n"/>
      <c r="G438" s="16" t="inlineStr">
        <is>
          <t>lab.store@jcb.com</t>
        </is>
      </c>
      <c r="H438" s="16" t="n"/>
    </row>
    <row r="439" ht="15" customHeight="1" s="13">
      <c r="A439" s="20" t="n">
        <v>46066</v>
      </c>
      <c r="B439" s="16" t="inlineStr">
        <is>
          <t>7243/0323</t>
        </is>
      </c>
      <c r="C439" s="16" t="inlineStr">
        <is>
          <t>RECEIPT</t>
        </is>
      </c>
      <c r="D439" s="16" t="n">
        <v>10</v>
      </c>
      <c r="E439" s="16" t="inlineStr">
        <is>
          <t>FOC_TE_12</t>
        </is>
      </c>
      <c r="F439" s="16" t="n"/>
      <c r="G439" s="16" t="inlineStr">
        <is>
          <t>lab.store@jcb.com</t>
        </is>
      </c>
      <c r="H439" s="16" t="n"/>
    </row>
    <row r="440" ht="15" customHeight="1" s="13">
      <c r="A440" s="20" t="n">
        <v>46066</v>
      </c>
      <c r="B440" s="16" t="inlineStr">
        <is>
          <t>7239/0084</t>
        </is>
      </c>
      <c r="C440" s="16" t="inlineStr">
        <is>
          <t>RECEIPT</t>
        </is>
      </c>
      <c r="D440" s="16" t="n">
        <v>50</v>
      </c>
      <c r="E440" s="16" t="inlineStr">
        <is>
          <t>FOC_TE_12</t>
        </is>
      </c>
      <c r="F440" s="16" t="n"/>
      <c r="G440" s="16" t="inlineStr">
        <is>
          <t>lab.store@jcb.com</t>
        </is>
      </c>
      <c r="H440" s="16" t="n"/>
    </row>
    <row r="441" ht="15" customHeight="1" s="13">
      <c r="A441" s="20" t="n">
        <v>46066</v>
      </c>
      <c r="B441" s="16" t="inlineStr">
        <is>
          <t>7243/0336</t>
        </is>
      </c>
      <c r="C441" s="16" t="inlineStr">
        <is>
          <t>RECEIPT</t>
        </is>
      </c>
      <c r="D441" s="16" t="n">
        <v>20</v>
      </c>
      <c r="E441" s="16" t="inlineStr">
        <is>
          <t>FOC_TE_12</t>
        </is>
      </c>
      <c r="F441" s="16" t="n"/>
      <c r="G441" s="16" t="inlineStr">
        <is>
          <t>lab.store@jcb.com</t>
        </is>
      </c>
      <c r="H441" s="16" t="n"/>
    </row>
    <row r="442" ht="15" customHeight="1" s="13">
      <c r="A442" s="20" t="n">
        <v>46066</v>
      </c>
      <c r="B442" s="16" t="inlineStr">
        <is>
          <t>7219/0404</t>
        </is>
      </c>
      <c r="C442" s="16" t="inlineStr">
        <is>
          <t>RECEIPT</t>
        </is>
      </c>
      <c r="D442" s="16" t="n">
        <v>10</v>
      </c>
      <c r="E442" s="16" t="inlineStr">
        <is>
          <t>FOC_TE_12</t>
        </is>
      </c>
      <c r="F442" s="16" t="n"/>
      <c r="G442" s="16" t="inlineStr">
        <is>
          <t>lab.store@jcb.com</t>
        </is>
      </c>
      <c r="H442" s="16" t="n"/>
    </row>
    <row r="443" ht="15" customHeight="1" s="13">
      <c r="A443" s="20" t="n">
        <v>46066</v>
      </c>
      <c r="B443" s="16" t="inlineStr">
        <is>
          <t>332/T8904</t>
        </is>
      </c>
      <c r="C443" s="16" t="inlineStr">
        <is>
          <t>RECEIPT</t>
        </is>
      </c>
      <c r="D443" s="16" t="n">
        <v>10</v>
      </c>
      <c r="E443" s="16" t="inlineStr">
        <is>
          <t>FOC_TE_12</t>
        </is>
      </c>
      <c r="F443" s="16" t="n"/>
      <c r="G443" s="16" t="inlineStr">
        <is>
          <t>lab.store@jcb.com</t>
        </is>
      </c>
      <c r="H443" s="16" t="n"/>
    </row>
    <row r="444" ht="15" customHeight="1" s="13">
      <c r="A444" s="20" t="n">
        <v>46066</v>
      </c>
      <c r="B444" s="16" t="inlineStr">
        <is>
          <t>332/T4414</t>
        </is>
      </c>
      <c r="C444" s="16" t="inlineStr">
        <is>
          <t>RECEIPT</t>
        </is>
      </c>
      <c r="D444" s="16" t="n">
        <v>100</v>
      </c>
      <c r="E444" s="16" t="inlineStr">
        <is>
          <t>46199</t>
        </is>
      </c>
      <c r="F444" s="16" t="n"/>
      <c r="G444" s="16" t="inlineStr">
        <is>
          <t>lab.store@jcb.com</t>
        </is>
      </c>
      <c r="H444" s="16" t="n"/>
    </row>
    <row r="445" ht="15" customHeight="1" s="13">
      <c r="A445" s="20" t="n">
        <v>46066</v>
      </c>
      <c r="B445" s="16" t="inlineStr">
        <is>
          <t>7232/0028</t>
        </is>
      </c>
      <c r="C445" s="16" t="inlineStr">
        <is>
          <t>RECEIPT</t>
        </is>
      </c>
      <c r="D445" s="16" t="n">
        <v>30</v>
      </c>
      <c r="E445" s="16" t="inlineStr">
        <is>
          <t>FOC_TE_12</t>
        </is>
      </c>
      <c r="F445" s="16" t="n"/>
      <c r="G445" s="16" t="inlineStr">
        <is>
          <t>lab.store@jcb.com</t>
        </is>
      </c>
      <c r="H445" s="16" t="n"/>
    </row>
    <row r="446" ht="15" customHeight="1" s="13">
      <c r="A446" s="20" t="n">
        <v>46066</v>
      </c>
      <c r="B446" s="16" t="inlineStr">
        <is>
          <t>7237/0016</t>
        </is>
      </c>
      <c r="C446" s="16" t="inlineStr">
        <is>
          <t>RECEIPT</t>
        </is>
      </c>
      <c r="D446" s="16" t="n">
        <v>20</v>
      </c>
      <c r="E446" s="16" t="inlineStr">
        <is>
          <t>FOC_TE_12</t>
        </is>
      </c>
      <c r="F446" s="16" t="n"/>
      <c r="G446" s="16" t="inlineStr">
        <is>
          <t>lab.store@jcb.com</t>
        </is>
      </c>
      <c r="H446" s="16" t="n"/>
    </row>
    <row r="447" ht="15" customHeight="1" s="13">
      <c r="A447" s="20" t="n">
        <v>46066</v>
      </c>
      <c r="B447" s="16" t="inlineStr">
        <is>
          <t>7238/0003</t>
        </is>
      </c>
      <c r="C447" s="16" t="inlineStr">
        <is>
          <t>RECEIPT</t>
        </is>
      </c>
      <c r="D447" s="16" t="n">
        <v>25</v>
      </c>
      <c r="E447" s="16" t="inlineStr">
        <is>
          <t>FOC_TE_12</t>
        </is>
      </c>
      <c r="F447" s="16" t="n"/>
      <c r="G447" s="16" t="inlineStr">
        <is>
          <t>lab.store@jcb.com</t>
        </is>
      </c>
      <c r="H447" s="16" t="n"/>
    </row>
    <row r="448" ht="15" customHeight="1" s="13">
      <c r="A448" s="20" t="n">
        <v>46066</v>
      </c>
      <c r="B448" s="16" t="inlineStr">
        <is>
          <t>7243/0982</t>
        </is>
      </c>
      <c r="C448" s="16" t="inlineStr">
        <is>
          <t>RECEIPT</t>
        </is>
      </c>
      <c r="D448" s="16" t="n">
        <v>20</v>
      </c>
      <c r="E448" s="16" t="inlineStr">
        <is>
          <t>FOC_TE_12</t>
        </is>
      </c>
      <c r="F448" s="16" t="n"/>
      <c r="G448" s="16" t="inlineStr">
        <is>
          <t>lab.store@jcb.com</t>
        </is>
      </c>
      <c r="H448" s="16" t="n"/>
    </row>
    <row r="449" ht="15" customHeight="1" s="13">
      <c r="A449" s="20" t="n">
        <v>46066</v>
      </c>
      <c r="B449" s="16" t="inlineStr">
        <is>
          <t>7239/0089</t>
        </is>
      </c>
      <c r="C449" s="16" t="inlineStr">
        <is>
          <t>RECEIPT</t>
        </is>
      </c>
      <c r="D449" s="16" t="n">
        <v>30</v>
      </c>
      <c r="E449" s="16" t="inlineStr">
        <is>
          <t>FOC_TE_12</t>
        </is>
      </c>
      <c r="F449" s="16" t="n"/>
      <c r="G449" s="16" t="inlineStr">
        <is>
          <t>lab.store@jcb.com</t>
        </is>
      </c>
      <c r="H449" s="16" t="n"/>
    </row>
    <row r="450" ht="15" customHeight="1" s="13">
      <c r="A450" s="20" t="n">
        <v>46066</v>
      </c>
      <c r="B450" s="16" t="inlineStr">
        <is>
          <t>7243/0351</t>
        </is>
      </c>
      <c r="C450" s="16" t="inlineStr">
        <is>
          <t>RECEIPT</t>
        </is>
      </c>
      <c r="D450" s="16" t="n">
        <v>10</v>
      </c>
      <c r="E450" s="16" t="inlineStr">
        <is>
          <t>FOC_TE_12</t>
        </is>
      </c>
      <c r="F450" s="16" t="n"/>
      <c r="G450" s="16" t="inlineStr">
        <is>
          <t>lab.store@jcb.com</t>
        </is>
      </c>
      <c r="H450" s="16" t="n"/>
    </row>
    <row r="451" ht="15" customHeight="1" s="13">
      <c r="A451" s="20" t="n">
        <v>46066</v>
      </c>
      <c r="B451" s="16" t="inlineStr">
        <is>
          <t>7243/0575</t>
        </is>
      </c>
      <c r="C451" s="16" t="inlineStr">
        <is>
          <t>RECEIPT</t>
        </is>
      </c>
      <c r="D451" s="16" t="n">
        <v>10</v>
      </c>
      <c r="E451" s="16" t="inlineStr">
        <is>
          <t>FOC_TE_12</t>
        </is>
      </c>
      <c r="F451" s="16" t="n"/>
      <c r="G451" s="16" t="inlineStr">
        <is>
          <t>lab.store@jcb.com</t>
        </is>
      </c>
      <c r="H451" s="16" t="n"/>
    </row>
    <row r="452" ht="15" customHeight="1" s="13">
      <c r="A452" s="20" t="n">
        <v>46066</v>
      </c>
      <c r="B452" s="16" t="inlineStr">
        <is>
          <t>7238/0002</t>
        </is>
      </c>
      <c r="C452" s="16" t="inlineStr">
        <is>
          <t>RECEIPT</t>
        </is>
      </c>
      <c r="D452" s="16" t="n">
        <v>20</v>
      </c>
      <c r="E452" s="16" t="inlineStr">
        <is>
          <t>FOC_TE_12</t>
        </is>
      </c>
      <c r="F452" s="16" t="n"/>
      <c r="G452" s="16" t="inlineStr">
        <is>
          <t>lab.store@jcb.com</t>
        </is>
      </c>
      <c r="H452" s="16" t="n"/>
    </row>
    <row r="453" ht="15" customHeight="1" s="13">
      <c r="A453" s="20" t="n">
        <v>46066</v>
      </c>
      <c r="B453" s="16" t="inlineStr">
        <is>
          <t>7239/0085</t>
        </is>
      </c>
      <c r="C453" s="16" t="inlineStr">
        <is>
          <t>RECEIPT</t>
        </is>
      </c>
      <c r="D453" s="16" t="n">
        <v>20</v>
      </c>
      <c r="E453" s="16" t="inlineStr">
        <is>
          <t>FOC_TE_13</t>
        </is>
      </c>
      <c r="F453" s="16" t="n"/>
      <c r="G453" s="16" t="inlineStr">
        <is>
          <t>lab.store@jcb.com</t>
        </is>
      </c>
      <c r="H453" s="16" t="n"/>
    </row>
    <row r="454" ht="15" customHeight="1" s="13">
      <c r="A454" s="20" t="n">
        <v>46066</v>
      </c>
      <c r="B454" s="16" t="inlineStr">
        <is>
          <t>7219/0493</t>
        </is>
      </c>
      <c r="C454" s="16" t="inlineStr">
        <is>
          <t>RECEIPT</t>
        </is>
      </c>
      <c r="D454" s="16" t="n">
        <v>3</v>
      </c>
      <c r="E454" s="16" t="inlineStr">
        <is>
          <t>FOC_TE_13</t>
        </is>
      </c>
      <c r="F454" s="16" t="n"/>
      <c r="G454" s="16" t="inlineStr">
        <is>
          <t>lab.store@jcb.com</t>
        </is>
      </c>
      <c r="H454" s="16" t="n"/>
    </row>
    <row r="455" ht="15" customHeight="1" s="13">
      <c r="A455" s="20" t="n">
        <v>46066</v>
      </c>
      <c r="B455" s="16" t="inlineStr">
        <is>
          <t>7239/0088</t>
        </is>
      </c>
      <c r="C455" s="16" t="inlineStr">
        <is>
          <t>RECEIPT</t>
        </is>
      </c>
      <c r="D455" s="16" t="n">
        <v>20</v>
      </c>
      <c r="E455" s="16" t="inlineStr">
        <is>
          <t>FOC_TE_13</t>
        </is>
      </c>
      <c r="F455" s="16" t="n"/>
      <c r="G455" s="16" t="inlineStr">
        <is>
          <t>lab.store@jcb.com</t>
        </is>
      </c>
      <c r="H455" s="16" t="n"/>
    </row>
    <row r="456" ht="15" customHeight="1" s="13">
      <c r="A456" s="20" t="n">
        <v>46066</v>
      </c>
      <c r="B456" s="16" t="inlineStr">
        <is>
          <t>7239/0031</t>
        </is>
      </c>
      <c r="C456" s="16" t="inlineStr">
        <is>
          <t>RECEIPT</t>
        </is>
      </c>
      <c r="D456" s="16" t="n">
        <v>5</v>
      </c>
      <c r="E456" s="16" t="inlineStr">
        <is>
          <t>FOC_TE_13</t>
        </is>
      </c>
      <c r="F456" s="16" t="n"/>
      <c r="G456" s="16" t="inlineStr">
        <is>
          <t>lab.store@jcb.com</t>
        </is>
      </c>
      <c r="H456" s="16" t="n"/>
    </row>
    <row r="457" ht="15" customHeight="1" s="13">
      <c r="A457" s="20" t="n">
        <v>46066</v>
      </c>
      <c r="B457" s="16" t="inlineStr">
        <is>
          <t>332/V7989</t>
        </is>
      </c>
      <c r="C457" s="16" t="inlineStr">
        <is>
          <t>RECEIPT</t>
        </is>
      </c>
      <c r="D457" s="16" t="n">
        <v>100</v>
      </c>
      <c r="E457" s="16" t="inlineStr">
        <is>
          <t>FOC_TE_13</t>
        </is>
      </c>
      <c r="F457" s="16" t="n"/>
      <c r="G457" s="16" t="inlineStr">
        <is>
          <t>lab.store@jcb.com</t>
        </is>
      </c>
      <c r="H457" s="16" t="n"/>
    </row>
    <row r="458" ht="15" customHeight="1" s="13">
      <c r="A458" s="20" t="n">
        <v>46066</v>
      </c>
      <c r="B458" s="16" t="inlineStr">
        <is>
          <t>7243/0361</t>
        </is>
      </c>
      <c r="C458" s="16" t="inlineStr">
        <is>
          <t>RECEIPT</t>
        </is>
      </c>
      <c r="D458" s="16" t="n">
        <v>15</v>
      </c>
      <c r="E458" s="16" t="inlineStr">
        <is>
          <t>FOC_TE_13</t>
        </is>
      </c>
      <c r="F458" s="16" t="n"/>
      <c r="G458" s="16" t="inlineStr">
        <is>
          <t>lab.store@jcb.com</t>
        </is>
      </c>
      <c r="H458" s="16" t="n"/>
    </row>
    <row r="459" ht="15" customHeight="1" s="13">
      <c r="A459" s="20" t="n">
        <v>46066</v>
      </c>
      <c r="B459" s="16" t="inlineStr">
        <is>
          <t>7243/0462</t>
        </is>
      </c>
      <c r="C459" s="16" t="inlineStr">
        <is>
          <t>RECEIPT</t>
        </is>
      </c>
      <c r="D459" s="16" t="n">
        <v>5</v>
      </c>
      <c r="E459" s="16" t="inlineStr">
        <is>
          <t>FOC_TE_13</t>
        </is>
      </c>
      <c r="F459" s="16" t="n"/>
      <c r="G459" s="16" t="inlineStr">
        <is>
          <t>lab.store@jcb.com</t>
        </is>
      </c>
      <c r="H459" s="16" t="n"/>
    </row>
    <row r="460" ht="15" customHeight="1" s="13">
      <c r="A460" s="20" t="n">
        <v>46066</v>
      </c>
      <c r="B460" s="16" t="inlineStr">
        <is>
          <t>7219/0403</t>
        </is>
      </c>
      <c r="C460" s="16" t="inlineStr">
        <is>
          <t>RECEIPT</t>
        </is>
      </c>
      <c r="D460" s="16" t="n">
        <v>10</v>
      </c>
      <c r="E460" s="16" t="inlineStr">
        <is>
          <t>FOC_TE_13</t>
        </is>
      </c>
      <c r="F460" s="16" t="n"/>
      <c r="G460" s="16" t="inlineStr">
        <is>
          <t>lab.store@jcb.com</t>
        </is>
      </c>
      <c r="H460" s="16" t="n"/>
    </row>
    <row r="461" ht="15" customHeight="1" s="13">
      <c r="A461" s="20" t="n">
        <v>46066</v>
      </c>
      <c r="B461" s="16" t="inlineStr">
        <is>
          <t>7219/0494</t>
        </is>
      </c>
      <c r="C461" s="16" t="inlineStr">
        <is>
          <t>RECEIPT</t>
        </is>
      </c>
      <c r="D461" s="16" t="n">
        <v>3</v>
      </c>
      <c r="E461" s="16" t="inlineStr">
        <is>
          <t>FOC_TE_13</t>
        </is>
      </c>
      <c r="F461" s="16" t="n"/>
      <c r="G461" s="16" t="inlineStr">
        <is>
          <t>lab.store@jcb.com</t>
        </is>
      </c>
      <c r="H461" s="16" t="n"/>
    </row>
    <row r="462" ht="15" customHeight="1" s="13">
      <c r="A462" s="20" t="n">
        <v>46066</v>
      </c>
      <c r="B462" s="16" t="inlineStr">
        <is>
          <t>7243/0318</t>
        </is>
      </c>
      <c r="C462" s="16" t="inlineStr">
        <is>
          <t>RECEIPT</t>
        </is>
      </c>
      <c r="D462" s="16" t="n">
        <v>10</v>
      </c>
      <c r="E462" s="16" t="inlineStr">
        <is>
          <t>FOC_TE_13</t>
        </is>
      </c>
      <c r="F462" s="16" t="n"/>
      <c r="G462" s="16" t="inlineStr">
        <is>
          <t>lab.store@jcb.com</t>
        </is>
      </c>
      <c r="H462" s="16" t="n"/>
    </row>
    <row r="463" ht="15" customHeight="1" s="13">
      <c r="A463" s="20" t="n">
        <v>46066</v>
      </c>
      <c r="B463" s="16" t="inlineStr">
        <is>
          <t>7243/0383</t>
        </is>
      </c>
      <c r="C463" s="16" t="inlineStr">
        <is>
          <t>RECEIPT</t>
        </is>
      </c>
      <c r="D463" s="16" t="n">
        <v>10</v>
      </c>
      <c r="E463" s="16" t="inlineStr">
        <is>
          <t>FOC_TE_13</t>
        </is>
      </c>
      <c r="F463" s="16" t="n"/>
      <c r="G463" s="16" t="inlineStr">
        <is>
          <t>lab.store@jcb.com</t>
        </is>
      </c>
      <c r="H463" s="16" t="n"/>
    </row>
    <row r="464" ht="15" customHeight="1" s="13">
      <c r="A464" s="20" t="n">
        <v>46078</v>
      </c>
      <c r="B464" s="16" t="inlineStr">
        <is>
          <t>P_SP_ELEC_GEN_171</t>
        </is>
      </c>
      <c r="C464" s="16" t="inlineStr">
        <is>
          <t>RECEIPT</t>
        </is>
      </c>
      <c r="D464" s="16" t="n">
        <v>25</v>
      </c>
      <c r="E464" s="16" t="inlineStr">
        <is>
          <t>9700009442</t>
        </is>
      </c>
      <c r="F464" s="16" t="n"/>
      <c r="G464" s="16" t="inlineStr">
        <is>
          <t>lab.store@jcb.com</t>
        </is>
      </c>
      <c r="H464" s="16" t="n"/>
    </row>
    <row r="465" ht="15" customHeight="1" s="13">
      <c r="A465" s="20" t="n">
        <v>46078</v>
      </c>
      <c r="B465" s="16" t="inlineStr">
        <is>
          <t>7213/0006</t>
        </is>
      </c>
      <c r="C465" s="16" t="inlineStr">
        <is>
          <t>RECEIPT</t>
        </is>
      </c>
      <c r="D465" s="16" t="n">
        <v>12</v>
      </c>
      <c r="E465" s="16" t="inlineStr">
        <is>
          <t>FOC_TE_14</t>
        </is>
      </c>
      <c r="F465" s="16" t="n"/>
      <c r="G465" s="16" t="inlineStr">
        <is>
          <t>lab.store@jcb.com</t>
        </is>
      </c>
      <c r="H465" s="16" t="n"/>
    </row>
    <row r="466" ht="15" customHeight="1" s="13">
      <c r="A466" s="20" t="n">
        <v>46078</v>
      </c>
      <c r="B466" s="16" t="inlineStr">
        <is>
          <t>7214/0015</t>
        </is>
      </c>
      <c r="C466" s="16" t="inlineStr">
        <is>
          <t>RECEIPT</t>
        </is>
      </c>
      <c r="D466" s="16" t="n">
        <v>20</v>
      </c>
      <c r="E466" s="16" t="inlineStr">
        <is>
          <t>FOC_TE_14</t>
        </is>
      </c>
      <c r="F466" s="16" t="n"/>
      <c r="G466" s="16" t="inlineStr">
        <is>
          <t>lab.store@jcb.com</t>
        </is>
      </c>
      <c r="H466" s="16" t="n"/>
    </row>
    <row r="467" ht="15" customHeight="1" s="13">
      <c r="A467" s="20" t="n">
        <v>46078</v>
      </c>
      <c r="B467" s="16" t="inlineStr">
        <is>
          <t>7212/0052</t>
        </is>
      </c>
      <c r="C467" s="16" t="inlineStr">
        <is>
          <t>RECEIPT</t>
        </is>
      </c>
      <c r="D467" s="16" t="n">
        <v>20</v>
      </c>
      <c r="E467" s="16" t="inlineStr">
        <is>
          <t>FOC_TE_14</t>
        </is>
      </c>
      <c r="F467" s="16" t="n"/>
      <c r="G467" s="16" t="inlineStr">
        <is>
          <t>lab.store@jcb.com</t>
        </is>
      </c>
      <c r="H467" s="16" t="n"/>
    </row>
    <row r="468" ht="15" customHeight="1" s="13">
      <c r="A468" s="20" t="n">
        <v>46078</v>
      </c>
      <c r="B468" s="16" t="inlineStr">
        <is>
          <t>7212/0013</t>
        </is>
      </c>
      <c r="C468" s="16" t="inlineStr">
        <is>
          <t>RECEIPT</t>
        </is>
      </c>
      <c r="D468" s="16" t="n">
        <v>27</v>
      </c>
      <c r="E468" s="16" t="inlineStr">
        <is>
          <t>FOC_TE_14</t>
        </is>
      </c>
      <c r="F468" s="16" t="n"/>
      <c r="G468" s="16" t="inlineStr">
        <is>
          <t>lab.store@jcb.com</t>
        </is>
      </c>
      <c r="H468" s="16" t="n"/>
    </row>
    <row r="469" ht="15" customHeight="1" s="13">
      <c r="A469" s="20" t="n">
        <v>46078</v>
      </c>
      <c r="B469" s="16" t="inlineStr">
        <is>
          <t>7219/0008</t>
        </is>
      </c>
      <c r="C469" s="16" t="inlineStr">
        <is>
          <t>RECEIPT</t>
        </is>
      </c>
      <c r="D469" s="16" t="n">
        <v>12</v>
      </c>
      <c r="E469" s="16" t="inlineStr">
        <is>
          <t>FOC_TE_14</t>
        </is>
      </c>
      <c r="F469" s="16" t="n"/>
      <c r="G469" s="16" t="inlineStr">
        <is>
          <t>lab.store@jcb.com</t>
        </is>
      </c>
      <c r="H469" s="16" t="n"/>
    </row>
    <row r="470" ht="15" customHeight="1" s="13">
      <c r="A470" s="20" t="n">
        <v>46078</v>
      </c>
      <c r="B470" s="16" t="inlineStr">
        <is>
          <t>7218/0004</t>
        </is>
      </c>
      <c r="C470" s="16" t="inlineStr">
        <is>
          <t>RECEIPT</t>
        </is>
      </c>
      <c r="D470" s="16" t="n">
        <v>16</v>
      </c>
      <c r="E470" s="16" t="inlineStr">
        <is>
          <t>FOC_TE_14</t>
        </is>
      </c>
      <c r="F470" s="16" t="n"/>
      <c r="G470" s="16" t="inlineStr">
        <is>
          <t>lab.store@jcb.com</t>
        </is>
      </c>
      <c r="H470" s="16" t="n"/>
    </row>
    <row r="471" ht="15" customHeight="1" s="13">
      <c r="A471" s="20" t="n">
        <v>46078</v>
      </c>
      <c r="B471" s="16" t="inlineStr">
        <is>
          <t>7213/0005</t>
        </is>
      </c>
      <c r="C471" s="16" t="inlineStr">
        <is>
          <t>RECEIPT</t>
        </is>
      </c>
      <c r="D471" s="16" t="n">
        <v>12</v>
      </c>
      <c r="E471" s="16" t="inlineStr">
        <is>
          <t>FOC_TE_14</t>
        </is>
      </c>
      <c r="F471" s="16" t="n"/>
      <c r="G471" s="16" t="inlineStr">
        <is>
          <t>lab.store@jcb.com</t>
        </is>
      </c>
      <c r="H471" s="16" t="n"/>
    </row>
    <row r="472" ht="15" customHeight="1" s="13">
      <c r="A472" s="20" t="n">
        <v>46078</v>
      </c>
      <c r="B472" s="16" t="inlineStr">
        <is>
          <t>7219/0310</t>
        </is>
      </c>
      <c r="C472" s="16" t="inlineStr">
        <is>
          <t>RECEIPT</t>
        </is>
      </c>
      <c r="D472" s="16" t="n">
        <v>43</v>
      </c>
      <c r="E472" s="16" t="inlineStr">
        <is>
          <t>FOC_TE_14</t>
        </is>
      </c>
      <c r="F472" s="16" t="n"/>
      <c r="G472" s="16" t="inlineStr">
        <is>
          <t>lab.store@jcb.com</t>
        </is>
      </c>
      <c r="H472" s="16" t="n"/>
    </row>
    <row r="473" ht="15" customHeight="1" s="13">
      <c r="A473" s="20" t="n">
        <v>46078</v>
      </c>
      <c r="B473" s="16" t="inlineStr">
        <is>
          <t>7216/0015</t>
        </is>
      </c>
      <c r="C473" s="16" t="inlineStr">
        <is>
          <t>RECEIPT</t>
        </is>
      </c>
      <c r="D473" s="16" t="n">
        <v>12</v>
      </c>
      <c r="E473" s="16" t="inlineStr">
        <is>
          <t>FOC_TE_14</t>
        </is>
      </c>
      <c r="F473" s="16" t="n"/>
      <c r="G473" s="16" t="inlineStr">
        <is>
          <t>lab.store@jcb.com</t>
        </is>
      </c>
      <c r="H473" s="16" t="n"/>
    </row>
    <row r="474" ht="15" customHeight="1" s="13">
      <c r="A474" s="20" t="n">
        <v>46078</v>
      </c>
      <c r="B474" s="16" t="inlineStr">
        <is>
          <t>7212/0004</t>
        </is>
      </c>
      <c r="C474" s="16" t="inlineStr">
        <is>
          <t>RECEIPT</t>
        </is>
      </c>
      <c r="D474" s="16" t="n">
        <v>100</v>
      </c>
      <c r="E474" s="16" t="inlineStr">
        <is>
          <t>FOC_TE_14</t>
        </is>
      </c>
      <c r="F474" s="16" t="n"/>
      <c r="G474" s="16" t="inlineStr">
        <is>
          <t>lab.store@jcb.com</t>
        </is>
      </c>
      <c r="H474" s="16" t="n"/>
    </row>
    <row r="475" ht="15" customHeight="1" s="13">
      <c r="A475" s="20" t="n">
        <v>46078</v>
      </c>
      <c r="B475" s="16" t="inlineStr">
        <is>
          <t>7214/0024</t>
        </is>
      </c>
      <c r="C475" s="16" t="inlineStr">
        <is>
          <t>RECEIPT</t>
        </is>
      </c>
      <c r="D475" s="16" t="n">
        <v>4</v>
      </c>
      <c r="E475" s="16" t="inlineStr">
        <is>
          <t>FOC_TE_14</t>
        </is>
      </c>
      <c r="F475" s="16" t="n"/>
      <c r="G475" s="16" t="inlineStr">
        <is>
          <t>lab.store@jcb.com</t>
        </is>
      </c>
      <c r="H475" s="16" t="n"/>
    </row>
    <row r="476" ht="15" customHeight="1" s="13">
      <c r="A476" s="20" t="n">
        <v>46078</v>
      </c>
      <c r="B476" s="16" t="inlineStr">
        <is>
          <t>7212/0004</t>
        </is>
      </c>
      <c r="C476" s="16" t="inlineStr">
        <is>
          <t>RECEIPT</t>
        </is>
      </c>
      <c r="D476" s="16" t="n">
        <v>100</v>
      </c>
      <c r="E476" s="16" t="inlineStr">
        <is>
          <t>FOC_TE_14</t>
        </is>
      </c>
      <c r="F476" s="16" t="n"/>
      <c r="G476" s="16" t="inlineStr">
        <is>
          <t>lab.store@jcb.com</t>
        </is>
      </c>
      <c r="H476" s="16" t="n"/>
    </row>
    <row r="477" ht="15" customHeight="1" s="13">
      <c r="A477" s="20" t="n">
        <v>46078</v>
      </c>
      <c r="B477" s="16" t="inlineStr">
        <is>
          <t>7216/0018</t>
        </is>
      </c>
      <c r="C477" s="16" t="inlineStr">
        <is>
          <t>RECEIPT</t>
        </is>
      </c>
      <c r="D477" s="16" t="n">
        <v>20</v>
      </c>
      <c r="E477" s="16" t="inlineStr">
        <is>
          <t>FOC_TE_14</t>
        </is>
      </c>
      <c r="F477" s="16" t="n"/>
      <c r="G477" s="16" t="inlineStr">
        <is>
          <t>lab.store@jcb.com</t>
        </is>
      </c>
      <c r="H477" s="16" t="n"/>
    </row>
    <row r="478" ht="15" customHeight="1" s="13">
      <c r="A478" s="20" t="n">
        <v>46078</v>
      </c>
      <c r="B478" s="16" t="inlineStr">
        <is>
          <t>7216/0002</t>
        </is>
      </c>
      <c r="C478" s="16" t="inlineStr">
        <is>
          <t>RECEIPT</t>
        </is>
      </c>
      <c r="D478" s="16" t="n">
        <v>19</v>
      </c>
      <c r="E478" s="16" t="inlineStr">
        <is>
          <t>FOC_TE_14</t>
        </is>
      </c>
      <c r="F478" s="16" t="n"/>
      <c r="G478" s="16" t="inlineStr">
        <is>
          <t>lab.store@jcb.com</t>
        </is>
      </c>
      <c r="H478" s="16" t="n"/>
    </row>
    <row r="479" ht="15" customHeight="1" s="13">
      <c r="A479" s="20" t="n">
        <v>46078</v>
      </c>
      <c r="B479" s="16" t="inlineStr">
        <is>
          <t>7216/0013</t>
        </is>
      </c>
      <c r="C479" s="16" t="inlineStr">
        <is>
          <t>RECEIPT</t>
        </is>
      </c>
      <c r="D479" s="16" t="n">
        <v>20</v>
      </c>
      <c r="E479" s="16" t="inlineStr">
        <is>
          <t>FOC_TE_14</t>
        </is>
      </c>
      <c r="F479" s="16" t="n"/>
      <c r="G479" s="16" t="inlineStr">
        <is>
          <t>lab.store@jcb.com</t>
        </is>
      </c>
      <c r="H479" s="16" t="n"/>
    </row>
    <row r="480" ht="15" customHeight="1" s="13">
      <c r="A480" s="20" t="n">
        <v>46078</v>
      </c>
      <c r="B480" s="16" t="inlineStr">
        <is>
          <t>7219/0309</t>
        </is>
      </c>
      <c r="C480" s="16" t="inlineStr">
        <is>
          <t>RECEIPT</t>
        </is>
      </c>
      <c r="D480" s="16" t="n">
        <v>40</v>
      </c>
      <c r="E480" s="16" t="inlineStr">
        <is>
          <t>FOC_TE_14</t>
        </is>
      </c>
      <c r="F480" s="16" t="n"/>
      <c r="G480" s="16" t="inlineStr">
        <is>
          <t>lab.store@jcb.com</t>
        </is>
      </c>
      <c r="H480" s="16" t="n"/>
    </row>
    <row r="481" ht="15" customHeight="1" s="13">
      <c r="A481" s="20" t="n">
        <v>46078</v>
      </c>
      <c r="B481" s="16" t="inlineStr">
        <is>
          <t>7216/0004</t>
        </is>
      </c>
      <c r="C481" s="16" t="inlineStr">
        <is>
          <t>RECEIPT</t>
        </is>
      </c>
      <c r="D481" s="16" t="n">
        <v>12</v>
      </c>
      <c r="E481" s="16" t="inlineStr">
        <is>
          <t>FOC_TE_14</t>
        </is>
      </c>
      <c r="F481" s="16" t="n"/>
      <c r="G481" s="16" t="inlineStr">
        <is>
          <t>lab.store@jcb.com</t>
        </is>
      </c>
      <c r="H481" s="16" t="n"/>
    </row>
    <row r="482" ht="15" customHeight="1" s="13">
      <c r="A482" s="20" t="n">
        <v>46078</v>
      </c>
      <c r="B482" s="16" t="inlineStr">
        <is>
          <t>7210/0095</t>
        </is>
      </c>
      <c r="C482" s="16" t="inlineStr">
        <is>
          <t>RECEIPT</t>
        </is>
      </c>
      <c r="D482" s="16" t="n">
        <v>600</v>
      </c>
      <c r="E482" s="16" t="inlineStr">
        <is>
          <t>FOC_TE_14</t>
        </is>
      </c>
      <c r="F482" s="16" t="n"/>
      <c r="G482" s="16" t="inlineStr">
        <is>
          <t>lab.store@jcb.com</t>
        </is>
      </c>
      <c r="H482" s="16" t="n"/>
    </row>
    <row r="483" ht="15" customHeight="1" s="13">
      <c r="A483" s="20" t="n">
        <v>46078</v>
      </c>
      <c r="B483" s="16" t="inlineStr">
        <is>
          <t>7214/0001</t>
        </is>
      </c>
      <c r="C483" s="16" t="inlineStr">
        <is>
          <t>RECEIPT</t>
        </is>
      </c>
      <c r="D483" s="16" t="n">
        <v>12</v>
      </c>
      <c r="E483" s="16" t="inlineStr">
        <is>
          <t>FOC_TE_14</t>
        </is>
      </c>
      <c r="F483" s="16" t="n"/>
      <c r="G483" s="16" t="inlineStr">
        <is>
          <t>lab.store@jcb.com</t>
        </is>
      </c>
      <c r="H483" s="16" t="n"/>
    </row>
    <row r="484" ht="15" customHeight="1" s="13">
      <c r="A484" s="20" t="n">
        <v>46078</v>
      </c>
      <c r="B484" s="16" t="inlineStr">
        <is>
          <t>7219/0001</t>
        </is>
      </c>
      <c r="C484" s="16" t="inlineStr">
        <is>
          <t>RECEIPT</t>
        </is>
      </c>
      <c r="D484" s="16" t="n">
        <v>12</v>
      </c>
      <c r="E484" s="16" t="inlineStr">
        <is>
          <t>FOC_TE_14</t>
        </is>
      </c>
      <c r="F484" s="16" t="n"/>
      <c r="G484" s="16" t="inlineStr">
        <is>
          <t>lab.store@jcb.com</t>
        </is>
      </c>
      <c r="H484" s="16" t="n"/>
    </row>
    <row r="485" ht="15" customHeight="1" s="13">
      <c r="A485" s="20" t="n">
        <v>46078</v>
      </c>
      <c r="B485" s="16" t="inlineStr">
        <is>
          <t>7218/0001</t>
        </is>
      </c>
      <c r="C485" s="16" t="inlineStr">
        <is>
          <t>RECEIPT</t>
        </is>
      </c>
      <c r="D485" s="16" t="n">
        <v>12</v>
      </c>
      <c r="E485" s="16" t="inlineStr">
        <is>
          <t>FOC_TE_14</t>
        </is>
      </c>
      <c r="F485" s="16" t="n"/>
      <c r="G485" s="16" t="inlineStr">
        <is>
          <t>lab.store@jcb.com</t>
        </is>
      </c>
      <c r="H485" s="16" t="n"/>
    </row>
    <row r="486" ht="15" customHeight="1" s="13">
      <c r="A486" s="20" t="n">
        <v>46078</v>
      </c>
      <c r="B486" s="16" t="inlineStr">
        <is>
          <t>7214/0004</t>
        </is>
      </c>
      <c r="C486" s="16" t="inlineStr">
        <is>
          <t>RECEIPT</t>
        </is>
      </c>
      <c r="D486" s="16" t="n">
        <v>12</v>
      </c>
      <c r="E486" s="16" t="inlineStr">
        <is>
          <t>FOC_TE_14</t>
        </is>
      </c>
      <c r="F486" s="16" t="n"/>
      <c r="G486" s="16" t="inlineStr">
        <is>
          <t>lab.store@jcb.com</t>
        </is>
      </c>
      <c r="H486" s="16" t="n"/>
    </row>
    <row r="487" ht="15" customHeight="1" s="13">
      <c r="A487" s="20" t="n">
        <v>46078</v>
      </c>
      <c r="B487" s="16" t="inlineStr">
        <is>
          <t>7212/0030</t>
        </is>
      </c>
      <c r="C487" s="16" t="inlineStr">
        <is>
          <t>RECEIPT</t>
        </is>
      </c>
      <c r="D487" s="16" t="n">
        <v>12</v>
      </c>
      <c r="E487" s="16" t="inlineStr">
        <is>
          <t>FOC_TE_14</t>
        </is>
      </c>
      <c r="F487" s="16" t="n"/>
      <c r="G487" s="16" t="inlineStr">
        <is>
          <t>lab.store@jcb.com</t>
        </is>
      </c>
      <c r="H487" s="16" t="n"/>
    </row>
    <row r="488" ht="15" customHeight="1" s="13">
      <c r="A488" s="20" t="n">
        <v>46078</v>
      </c>
      <c r="B488" s="16" t="inlineStr">
        <is>
          <t>7212/0003</t>
        </is>
      </c>
      <c r="C488" s="16" t="inlineStr">
        <is>
          <t>RECEIPT</t>
        </is>
      </c>
      <c r="D488" s="16" t="n">
        <v>300</v>
      </c>
      <c r="E488" s="16" t="inlineStr">
        <is>
          <t>FOC_TE_14</t>
        </is>
      </c>
      <c r="F488" s="16" t="n"/>
      <c r="G488" s="16" t="inlineStr">
        <is>
          <t>lab.store@jcb.com</t>
        </is>
      </c>
      <c r="H488" s="16" t="n"/>
    </row>
    <row r="489" ht="15" customHeight="1" s="13">
      <c r="A489" s="20" t="n">
        <v>46078</v>
      </c>
      <c r="B489" s="16" t="inlineStr">
        <is>
          <t>7216/0001</t>
        </is>
      </c>
      <c r="C489" s="16" t="inlineStr">
        <is>
          <t>RECEIPT</t>
        </is>
      </c>
      <c r="D489" s="16" t="n">
        <v>12</v>
      </c>
      <c r="E489" s="16" t="inlineStr">
        <is>
          <t>FOC_TE_14</t>
        </is>
      </c>
      <c r="F489" s="16" t="n"/>
      <c r="G489" s="16" t="inlineStr">
        <is>
          <t>lab.store@jcb.com</t>
        </is>
      </c>
      <c r="H489" s="16" t="n"/>
    </row>
    <row r="490" ht="15" customHeight="1" s="13">
      <c r="A490" s="20" t="n">
        <v>46078</v>
      </c>
      <c r="B490" s="16" t="inlineStr">
        <is>
          <t>7212/0029</t>
        </is>
      </c>
      <c r="C490" s="16" t="inlineStr">
        <is>
          <t>RECEIPT</t>
        </is>
      </c>
      <c r="D490" s="16" t="n">
        <v>13</v>
      </c>
      <c r="E490" s="16" t="inlineStr">
        <is>
          <t>FOC_TE_14</t>
        </is>
      </c>
      <c r="F490" s="16" t="n"/>
      <c r="G490" s="16" t="inlineStr">
        <is>
          <t>lab.store@jcb.com</t>
        </is>
      </c>
      <c r="H490" s="16" t="n"/>
    </row>
    <row r="491" ht="15" customHeight="1" s="13">
      <c r="A491" s="20" t="n">
        <v>46078</v>
      </c>
      <c r="B491" s="16" t="inlineStr">
        <is>
          <t>332/T4969</t>
        </is>
      </c>
      <c r="C491" s="16" t="inlineStr">
        <is>
          <t>RECEIPT</t>
        </is>
      </c>
      <c r="D491" s="16" t="n">
        <v>100</v>
      </c>
      <c r="E491" s="16" t="inlineStr">
        <is>
          <t>FOC_TE_14</t>
        </is>
      </c>
      <c r="F491" s="16" t="n"/>
      <c r="G491" s="16" t="inlineStr">
        <is>
          <t>lab.store@jcb.com</t>
        </is>
      </c>
      <c r="H491" s="16" t="n"/>
    </row>
    <row r="492" ht="15" customHeight="1" s="13">
      <c r="A492" s="20" t="n">
        <v>46078</v>
      </c>
      <c r="B492" s="16" t="inlineStr">
        <is>
          <t>7219/0006</t>
        </is>
      </c>
      <c r="C492" s="16" t="inlineStr">
        <is>
          <t>RECEIPT</t>
        </is>
      </c>
      <c r="D492" s="16" t="n">
        <v>12</v>
      </c>
      <c r="E492" s="16" t="inlineStr">
        <is>
          <t>FOC_TE_14</t>
        </is>
      </c>
      <c r="F492" s="16" t="n"/>
      <c r="G492" s="16" t="inlineStr">
        <is>
          <t>lab.store@jcb.com</t>
        </is>
      </c>
      <c r="H492" s="16" t="n"/>
    </row>
    <row r="493" ht="15" customHeight="1" s="13">
      <c r="A493" s="20" t="n">
        <v>46078</v>
      </c>
      <c r="B493" s="16" t="inlineStr">
        <is>
          <t>7213/0007</t>
        </is>
      </c>
      <c r="C493" s="16" t="inlineStr">
        <is>
          <t>RECEIPT</t>
        </is>
      </c>
      <c r="D493" s="16" t="n">
        <v>12</v>
      </c>
      <c r="E493" s="16" t="inlineStr">
        <is>
          <t>FOC_TE_14</t>
        </is>
      </c>
      <c r="F493" s="16" t="n"/>
      <c r="G493" s="16" t="inlineStr">
        <is>
          <t>lab.store@jcb.com</t>
        </is>
      </c>
      <c r="H493" s="16" t="n"/>
    </row>
    <row r="494" ht="15" customHeight="1" s="13">
      <c r="A494" s="20" t="n">
        <v>46078</v>
      </c>
      <c r="B494" s="16" t="inlineStr">
        <is>
          <t>7219/0003</t>
        </is>
      </c>
      <c r="C494" s="16" t="inlineStr">
        <is>
          <t>RECEIPT</t>
        </is>
      </c>
      <c r="D494" s="16" t="n">
        <v>12</v>
      </c>
      <c r="E494" s="16" t="inlineStr">
        <is>
          <t>FOC_TE_14</t>
        </is>
      </c>
      <c r="F494" s="16" t="n"/>
      <c r="G494" s="16" t="inlineStr">
        <is>
          <t>lab.store@jcb.com</t>
        </is>
      </c>
      <c r="H494" s="16" t="n"/>
    </row>
    <row r="495" ht="15" customHeight="1" s="13">
      <c r="A495" s="20" t="n">
        <v>46078</v>
      </c>
      <c r="B495" s="16" t="inlineStr">
        <is>
          <t>7218/0003</t>
        </is>
      </c>
      <c r="C495" s="16" t="inlineStr">
        <is>
          <t>RECEIPT</t>
        </is>
      </c>
      <c r="D495" s="16" t="n">
        <v>12</v>
      </c>
      <c r="E495" s="16" t="inlineStr">
        <is>
          <t>FOC_TE_14</t>
        </is>
      </c>
      <c r="F495" s="16" t="n"/>
      <c r="G495" s="16" t="inlineStr">
        <is>
          <t>lab.store@jcb.com</t>
        </is>
      </c>
      <c r="H495" s="16" t="n"/>
    </row>
    <row r="496" ht="15" customHeight="1" s="13">
      <c r="A496" s="20" t="n">
        <v>46078</v>
      </c>
      <c r="B496" s="16" t="inlineStr">
        <is>
          <t>7201/1132</t>
        </is>
      </c>
      <c r="C496" s="16" t="inlineStr">
        <is>
          <t>RECEIPT</t>
        </is>
      </c>
      <c r="D496" s="16" t="n">
        <v>100</v>
      </c>
      <c r="E496" s="16" t="inlineStr">
        <is>
          <t>FOC_TE_14</t>
        </is>
      </c>
      <c r="F496" s="16" t="n"/>
      <c r="G496" s="16" t="inlineStr">
        <is>
          <t>lab.store@jcb.com</t>
        </is>
      </c>
      <c r="H496" s="16" t="n"/>
    </row>
    <row r="497" ht="15" customHeight="1" s="13">
      <c r="A497" s="20" t="n">
        <v>46078</v>
      </c>
      <c r="B497" s="16" t="inlineStr">
        <is>
          <t>7212/0051</t>
        </is>
      </c>
      <c r="C497" s="16" t="inlineStr">
        <is>
          <t>RECEIPT</t>
        </is>
      </c>
      <c r="D497" s="16" t="n">
        <v>40</v>
      </c>
      <c r="E497" s="16" t="inlineStr">
        <is>
          <t>FOC_TE_14</t>
        </is>
      </c>
      <c r="F497" s="16" t="n"/>
      <c r="G497" s="16" t="inlineStr">
        <is>
          <t>lab.store@jcb.com</t>
        </is>
      </c>
      <c r="H497" s="16" t="n"/>
    </row>
    <row r="498" ht="15" customHeight="1" s="13">
      <c r="A498" s="20" t="n">
        <v>46078</v>
      </c>
      <c r="B498" s="16" t="inlineStr">
        <is>
          <t>701/E0033</t>
        </is>
      </c>
      <c r="C498" s="16" t="inlineStr">
        <is>
          <t>RECEIPT</t>
        </is>
      </c>
      <c r="D498" s="16" t="n">
        <v>2</v>
      </c>
      <c r="E498" s="16" t="inlineStr">
        <is>
          <t>FOC_TE_14</t>
        </is>
      </c>
      <c r="F498" s="16" t="n"/>
      <c r="G498" s="16" t="inlineStr">
        <is>
          <t>lab.store@jcb.com</t>
        </is>
      </c>
      <c r="H498" s="16" t="n"/>
    </row>
    <row r="499" ht="15" customHeight="1" s="13">
      <c r="A499" s="20" t="n">
        <v>46078</v>
      </c>
      <c r="B499" s="16" t="inlineStr">
        <is>
          <t>778-6714</t>
        </is>
      </c>
      <c r="C499" s="16" t="inlineStr">
        <is>
          <t>RECEIPT</t>
        </is>
      </c>
      <c r="D499" s="16" t="n">
        <v>100</v>
      </c>
      <c r="E499" s="16" t="inlineStr">
        <is>
          <t>FOC_TE_14</t>
        </is>
      </c>
      <c r="F499" s="16" t="n"/>
      <c r="G499" s="16" t="inlineStr">
        <is>
          <t>lab.store@jcb.com</t>
        </is>
      </c>
      <c r="H499" s="16" t="n"/>
    </row>
    <row r="500" ht="15" customHeight="1" s="13">
      <c r="A500" s="20" t="n">
        <v>46078</v>
      </c>
      <c r="B500" s="16" t="inlineStr">
        <is>
          <t>701/4887</t>
        </is>
      </c>
      <c r="C500" s="16" t="inlineStr">
        <is>
          <t>RECEIPT</t>
        </is>
      </c>
      <c r="D500" s="16" t="n">
        <v>4</v>
      </c>
      <c r="E500" s="16" t="inlineStr">
        <is>
          <t>FOC_TE_14</t>
        </is>
      </c>
      <c r="F500" s="16" t="n"/>
      <c r="G500" s="16" t="inlineStr">
        <is>
          <t>lab.store@jcb.com</t>
        </is>
      </c>
      <c r="H500" s="16" t="n"/>
    </row>
    <row r="501" ht="15" customHeight="1" s="13">
      <c r="A501" s="20" t="n">
        <v>46078</v>
      </c>
      <c r="B501" s="16" t="inlineStr">
        <is>
          <t>701/80265</t>
        </is>
      </c>
      <c r="C501" s="16" t="inlineStr">
        <is>
          <t>RECEIPT</t>
        </is>
      </c>
      <c r="D501" s="16" t="n">
        <v>6</v>
      </c>
      <c r="E501" s="16" t="inlineStr">
        <is>
          <t>FOC_TE_14</t>
        </is>
      </c>
      <c r="F501" s="16" t="n"/>
      <c r="G501" s="16" t="inlineStr">
        <is>
          <t>lab.store@jcb.com</t>
        </is>
      </c>
      <c r="H501" s="16" t="n"/>
    </row>
    <row r="502" ht="15" customHeight="1" s="13">
      <c r="A502" s="20" t="n">
        <v>46078</v>
      </c>
      <c r="B502" s="16" t="inlineStr">
        <is>
          <t>701/E0030</t>
        </is>
      </c>
      <c r="C502" s="16" t="inlineStr">
        <is>
          <t>RECEIPT</t>
        </is>
      </c>
      <c r="D502" s="16" t="n">
        <v>4</v>
      </c>
      <c r="E502" s="16" t="inlineStr">
        <is>
          <t>FOC_TE_14</t>
        </is>
      </c>
      <c r="F502" s="16" t="n"/>
      <c r="G502" s="16" t="inlineStr">
        <is>
          <t>lab.store@jcb.com</t>
        </is>
      </c>
      <c r="H502" s="16" t="n"/>
    </row>
    <row r="503" ht="15" customHeight="1" s="13">
      <c r="A503" s="20" t="n">
        <v>46078</v>
      </c>
      <c r="B503" s="16" t="inlineStr">
        <is>
          <t>701/L4880</t>
        </is>
      </c>
      <c r="C503" s="16" t="inlineStr">
        <is>
          <t>RECEIPT</t>
        </is>
      </c>
      <c r="D503" s="16" t="n">
        <v>2</v>
      </c>
      <c r="E503" s="16" t="inlineStr">
        <is>
          <t>FOC_TE_14</t>
        </is>
      </c>
      <c r="F503" s="16" t="n"/>
      <c r="G503" s="16" t="inlineStr">
        <is>
          <t>lab.store@jcb.com</t>
        </is>
      </c>
      <c r="H503" s="16" t="n"/>
    </row>
    <row r="504" ht="15" customHeight="1" s="13">
      <c r="A504" s="20" t="n">
        <v>46078</v>
      </c>
      <c r="B504" s="16" t="inlineStr">
        <is>
          <t>7232/0023</t>
        </is>
      </c>
      <c r="C504" s="16" t="inlineStr">
        <is>
          <t>RECEIPT</t>
        </is>
      </c>
      <c r="D504" s="16" t="n">
        <v>30</v>
      </c>
      <c r="E504" s="16" t="inlineStr">
        <is>
          <t>FOC_TE_14</t>
        </is>
      </c>
      <c r="F504" s="16" t="n"/>
      <c r="G504" s="16" t="inlineStr">
        <is>
          <t>lab.store@jcb.com</t>
        </is>
      </c>
      <c r="H504" s="16" t="n"/>
    </row>
    <row r="505" ht="15" customHeight="1" s="13">
      <c r="A505" s="20" t="n">
        <v>46078</v>
      </c>
      <c r="B505" s="16" t="inlineStr">
        <is>
          <t>7216/0017</t>
        </is>
      </c>
      <c r="C505" s="16" t="inlineStr">
        <is>
          <t>RECEIPT</t>
        </is>
      </c>
      <c r="D505" s="16" t="n">
        <v>24</v>
      </c>
      <c r="E505" s="16" t="inlineStr">
        <is>
          <t>FOC_TE_14</t>
        </is>
      </c>
      <c r="F505" s="16" t="n"/>
      <c r="G505" s="16" t="inlineStr">
        <is>
          <t>lab.store@jcb.com</t>
        </is>
      </c>
      <c r="H505" s="16" t="n"/>
    </row>
    <row r="506" ht="15" customHeight="1" s="13">
      <c r="A506" s="20" t="n">
        <v>46078</v>
      </c>
      <c r="B506" s="16" t="inlineStr">
        <is>
          <t>7216/0018</t>
        </is>
      </c>
      <c r="C506" s="16" t="inlineStr">
        <is>
          <t>RECEIPT</t>
        </is>
      </c>
      <c r="D506" s="16" t="n">
        <v>65</v>
      </c>
      <c r="E506" s="16" t="inlineStr">
        <is>
          <t>FOC_TE_14</t>
        </is>
      </c>
      <c r="F506" s="16" t="n"/>
      <c r="G506" s="16" t="inlineStr">
        <is>
          <t>lab.store@jcb.com</t>
        </is>
      </c>
      <c r="H506" s="16" t="n"/>
    </row>
    <row r="507" ht="15" customHeight="1" s="13">
      <c r="A507" s="20" t="n">
        <v>46078</v>
      </c>
      <c r="B507" s="16" t="inlineStr">
        <is>
          <t>7201/0777</t>
        </is>
      </c>
      <c r="C507" s="16" t="inlineStr">
        <is>
          <t>RECEIPT</t>
        </is>
      </c>
      <c r="D507" s="16" t="n">
        <v>63</v>
      </c>
      <c r="E507" s="16" t="inlineStr">
        <is>
          <t>FOC_TE_14</t>
        </is>
      </c>
      <c r="F507" s="16" t="n"/>
      <c r="G507" s="16" t="inlineStr">
        <is>
          <t>lab.store@jcb.com</t>
        </is>
      </c>
      <c r="H507" s="16" t="n"/>
    </row>
    <row r="508" ht="15" customHeight="1" s="13">
      <c r="A508" s="20" t="n">
        <v>46078</v>
      </c>
      <c r="B508" s="16" t="inlineStr">
        <is>
          <t>7201/0776</t>
        </is>
      </c>
      <c r="C508" s="16" t="inlineStr">
        <is>
          <t>RECEIPT</t>
        </is>
      </c>
      <c r="D508" s="16" t="n">
        <v>78</v>
      </c>
      <c r="E508" s="16" t="inlineStr">
        <is>
          <t>FOC_TE_14</t>
        </is>
      </c>
      <c r="F508" s="16" t="n"/>
      <c r="G508" s="16" t="inlineStr">
        <is>
          <t>lab.store@jcb.com</t>
        </is>
      </c>
      <c r="H508" s="16" t="n"/>
    </row>
    <row r="509" ht="15" customHeight="1" s="13">
      <c r="A509" s="20" t="n">
        <v>46078</v>
      </c>
      <c r="B509" s="16" t="inlineStr">
        <is>
          <t>7201/0780</t>
        </is>
      </c>
      <c r="C509" s="16" t="inlineStr">
        <is>
          <t>RECEIPT</t>
        </is>
      </c>
      <c r="D509" s="16" t="n">
        <v>48</v>
      </c>
      <c r="E509" s="16" t="inlineStr">
        <is>
          <t>FOC_TE_14</t>
        </is>
      </c>
      <c r="F509" s="16" t="n"/>
      <c r="G509" s="16" t="inlineStr">
        <is>
          <t>lab.store@jcb.com</t>
        </is>
      </c>
      <c r="H509" s="16" t="n"/>
    </row>
    <row r="510" ht="15" customHeight="1" s="13">
      <c r="A510" s="20" t="n">
        <v>46078</v>
      </c>
      <c r="B510" s="16" t="inlineStr">
        <is>
          <t>7201/0784</t>
        </is>
      </c>
      <c r="C510" s="16" t="inlineStr">
        <is>
          <t>RECEIPT</t>
        </is>
      </c>
      <c r="D510" s="16" t="n">
        <v>24</v>
      </c>
      <c r="E510" s="16" t="inlineStr">
        <is>
          <t>FOC_TE_14</t>
        </is>
      </c>
      <c r="F510" s="16" t="n"/>
      <c r="G510" s="16" t="inlineStr">
        <is>
          <t>lab.store@jcb.com</t>
        </is>
      </c>
      <c r="H510" s="16" t="n"/>
    </row>
    <row r="511" ht="15" customHeight="1" s="13">
      <c r="A511" s="20" t="n">
        <v>46078</v>
      </c>
      <c r="B511" s="16" t="inlineStr">
        <is>
          <t>7201/0781</t>
        </is>
      </c>
      <c r="C511" s="16" t="inlineStr">
        <is>
          <t>RECEIPT</t>
        </is>
      </c>
      <c r="D511" s="16" t="n">
        <v>18</v>
      </c>
      <c r="E511" s="16" t="inlineStr">
        <is>
          <t>FOC_TE_14</t>
        </is>
      </c>
      <c r="F511" s="16" t="n"/>
      <c r="G511" s="16" t="inlineStr">
        <is>
          <t>lab.store@jcb.com</t>
        </is>
      </c>
      <c r="H511" s="16" t="n"/>
    </row>
    <row r="512" ht="15" customHeight="1" s="13">
      <c r="A512" s="20" t="n">
        <v>46078</v>
      </c>
      <c r="B512" s="16" t="inlineStr">
        <is>
          <t>7201/0785</t>
        </is>
      </c>
      <c r="C512" s="16" t="inlineStr">
        <is>
          <t>RECEIPT</t>
        </is>
      </c>
      <c r="D512" s="16" t="n">
        <v>12</v>
      </c>
      <c r="E512" s="16" t="inlineStr">
        <is>
          <t>FOC_TE_14</t>
        </is>
      </c>
      <c r="F512" s="16" t="n"/>
      <c r="G512" s="16" t="inlineStr">
        <is>
          <t>lab.store@jcb.com</t>
        </is>
      </c>
      <c r="H512" s="16" t="n"/>
    </row>
    <row r="513" ht="15" customHeight="1" s="13">
      <c r="A513" s="20" t="n">
        <v>46078</v>
      </c>
      <c r="B513" s="16" t="inlineStr">
        <is>
          <t>7201/0782</t>
        </is>
      </c>
      <c r="C513" s="16" t="inlineStr">
        <is>
          <t>RECEIPT</t>
        </is>
      </c>
      <c r="D513" s="16" t="n">
        <v>2</v>
      </c>
      <c r="E513" s="16" t="inlineStr">
        <is>
          <t>FOC_TE_14</t>
        </is>
      </c>
      <c r="F513" s="16" t="n"/>
      <c r="G513" s="16" t="inlineStr">
        <is>
          <t>lab.store@jcb.com</t>
        </is>
      </c>
      <c r="H513" s="16" t="n"/>
    </row>
    <row r="514" ht="15" customHeight="1" s="13">
      <c r="A514" s="20" t="n">
        <v>46078</v>
      </c>
      <c r="B514" s="16" t="inlineStr">
        <is>
          <t>7201/0764</t>
        </is>
      </c>
      <c r="C514" s="16" t="inlineStr">
        <is>
          <t>RECEIPT</t>
        </is>
      </c>
      <c r="D514" s="16" t="n">
        <v>100</v>
      </c>
      <c r="E514" s="16" t="inlineStr">
        <is>
          <t>FOC_TE_14</t>
        </is>
      </c>
      <c r="F514" s="16" t="n"/>
      <c r="G514" s="16" t="inlineStr">
        <is>
          <t>lab.store@jcb.com</t>
        </is>
      </c>
      <c r="H514" s="16" t="n"/>
    </row>
    <row r="515" ht="15" customHeight="1" s="13">
      <c r="A515" s="20" t="n">
        <v>46078</v>
      </c>
      <c r="B515" s="16" t="inlineStr">
        <is>
          <t>7204/0124</t>
        </is>
      </c>
      <c r="C515" s="16" t="inlineStr">
        <is>
          <t>RECEIPT</t>
        </is>
      </c>
      <c r="D515" s="16" t="n">
        <v>5</v>
      </c>
      <c r="E515" s="16" t="inlineStr">
        <is>
          <t>FOC_TE_14</t>
        </is>
      </c>
      <c r="F515" s="16" t="n"/>
      <c r="G515" s="16" t="inlineStr">
        <is>
          <t>lab.store@jcb.com</t>
        </is>
      </c>
      <c r="H515" s="16" t="n"/>
    </row>
    <row r="516" ht="15" customHeight="1" s="13">
      <c r="A516" s="20" t="n">
        <v>46078</v>
      </c>
      <c r="B516" s="16" t="inlineStr">
        <is>
          <t>7201/0469</t>
        </is>
      </c>
      <c r="C516" s="16" t="inlineStr">
        <is>
          <t>RECEIPT</t>
        </is>
      </c>
      <c r="D516" s="16" t="n">
        <v>100</v>
      </c>
      <c r="E516" s="16" t="inlineStr">
        <is>
          <t>FOC_TE_14</t>
        </is>
      </c>
      <c r="F516" s="16" t="n"/>
      <c r="G516" s="16" t="inlineStr">
        <is>
          <t>lab.store@jcb.com</t>
        </is>
      </c>
      <c r="H516" s="16" t="n"/>
    </row>
    <row r="517" ht="15" customHeight="1" s="13">
      <c r="A517" s="20" t="n">
        <v>46078</v>
      </c>
      <c r="B517" s="16" t="inlineStr">
        <is>
          <t>7239/0059</t>
        </is>
      </c>
      <c r="C517" s="16" t="inlineStr">
        <is>
          <t>RECEIPT</t>
        </is>
      </c>
      <c r="D517" s="16" t="n">
        <v>12</v>
      </c>
      <c r="E517" s="16" t="inlineStr">
        <is>
          <t>FOC_TE_14</t>
        </is>
      </c>
      <c r="F517" s="16" t="n"/>
      <c r="G517" s="16" t="inlineStr">
        <is>
          <t>lab.store@jcb.com</t>
        </is>
      </c>
      <c r="H517" s="16" t="n"/>
    </row>
    <row r="518" ht="15" customHeight="1" s="13">
      <c r="A518" s="20" t="n">
        <v>46078</v>
      </c>
      <c r="B518" s="16" t="inlineStr">
        <is>
          <t>7219/0169</t>
        </is>
      </c>
      <c r="C518" s="16" t="inlineStr">
        <is>
          <t>RECEIPT</t>
        </is>
      </c>
      <c r="D518" s="16" t="n">
        <v>10</v>
      </c>
      <c r="E518" s="16" t="inlineStr">
        <is>
          <t>FOC_TE_14</t>
        </is>
      </c>
      <c r="F518" s="16" t="n"/>
      <c r="G518" s="16" t="inlineStr">
        <is>
          <t>lab.store@jcb.com</t>
        </is>
      </c>
      <c r="H518" s="16" t="n"/>
    </row>
    <row r="519" ht="15" customHeight="1" s="13">
      <c r="A519" s="20" t="n">
        <v>46078</v>
      </c>
      <c r="B519" s="16" t="inlineStr">
        <is>
          <t>7216/0018</t>
        </is>
      </c>
      <c r="C519" s="16" t="inlineStr">
        <is>
          <t>RECEIPT</t>
        </is>
      </c>
      <c r="D519" s="16" t="n">
        <v>10</v>
      </c>
      <c r="E519" s="16" t="inlineStr">
        <is>
          <t>FOC_TE_14</t>
        </is>
      </c>
      <c r="F519" s="16" t="n"/>
      <c r="G519" s="16" t="inlineStr">
        <is>
          <t>lab.store@jcb.com</t>
        </is>
      </c>
      <c r="H519" s="16" t="n"/>
    </row>
    <row r="520" ht="15" customHeight="1" s="13">
      <c r="A520" s="20" t="n">
        <v>46078</v>
      </c>
      <c r="B520" s="16" t="inlineStr">
        <is>
          <t>7214/0034</t>
        </is>
      </c>
      <c r="C520" s="16" t="inlineStr">
        <is>
          <t>RECEIPT</t>
        </is>
      </c>
      <c r="D520" s="16" t="n">
        <v>10</v>
      </c>
      <c r="E520" s="16" t="inlineStr">
        <is>
          <t>FOC_TE_14</t>
        </is>
      </c>
      <c r="F520" s="16" t="n"/>
      <c r="G520" s="16" t="inlineStr">
        <is>
          <t>lab.store@jcb.com</t>
        </is>
      </c>
      <c r="H520" s="16" t="n"/>
    </row>
    <row r="521" ht="15" customHeight="1" s="13">
      <c r="A521" s="20" t="n">
        <v>46078</v>
      </c>
      <c r="B521" s="16" t="inlineStr">
        <is>
          <t>7219/0272</t>
        </is>
      </c>
      <c r="C521" s="16" t="inlineStr">
        <is>
          <t>RECEIPT</t>
        </is>
      </c>
      <c r="D521" s="16" t="n">
        <v>5</v>
      </c>
      <c r="E521" s="16" t="inlineStr">
        <is>
          <t>FOC_TE_14</t>
        </is>
      </c>
      <c r="F521" s="16" t="n"/>
      <c r="G521" s="16" t="inlineStr">
        <is>
          <t>lab.store@jcb.com</t>
        </is>
      </c>
      <c r="H521" s="16" t="n"/>
    </row>
    <row r="522" ht="15" customHeight="1" s="13">
      <c r="A522" s="20" t="n">
        <v>46078</v>
      </c>
      <c r="B522" s="16" t="inlineStr">
        <is>
          <t>7219/0018</t>
        </is>
      </c>
      <c r="C522" s="16" t="inlineStr">
        <is>
          <t>RECEIPT</t>
        </is>
      </c>
      <c r="D522" s="16" t="n">
        <v>20</v>
      </c>
      <c r="E522" s="16" t="inlineStr">
        <is>
          <t>FOC_TE_14</t>
        </is>
      </c>
      <c r="F522" s="16" t="n"/>
      <c r="G522" s="16" t="inlineStr">
        <is>
          <t>lab.store@jcb.com</t>
        </is>
      </c>
      <c r="H522" s="16" t="n"/>
    </row>
    <row r="523" ht="15" customHeight="1" s="13">
      <c r="A523" s="20" t="n">
        <v>46078</v>
      </c>
      <c r="B523" s="16" t="inlineStr">
        <is>
          <t>7219/0019</t>
        </is>
      </c>
      <c r="C523" s="16" t="inlineStr">
        <is>
          <t>RECEIPT</t>
        </is>
      </c>
      <c r="D523" s="16" t="n">
        <v>10</v>
      </c>
      <c r="E523" s="16" t="inlineStr">
        <is>
          <t>FOC_TE_14</t>
        </is>
      </c>
      <c r="F523" s="16" t="n"/>
      <c r="G523" s="16" t="inlineStr">
        <is>
          <t>lab.store@jcb.com</t>
        </is>
      </c>
      <c r="H523" s="16" t="n"/>
    </row>
    <row r="524" ht="15" customHeight="1" s="13">
      <c r="A524" s="20" t="n">
        <v>46078</v>
      </c>
      <c r="B524" s="16" t="inlineStr">
        <is>
          <t>7216/0016</t>
        </is>
      </c>
      <c r="C524" s="16" t="inlineStr">
        <is>
          <t>RECEIPT</t>
        </is>
      </c>
      <c r="D524" s="16" t="n">
        <v>15</v>
      </c>
      <c r="E524" s="16" t="inlineStr">
        <is>
          <t>FOC_TE_14</t>
        </is>
      </c>
      <c r="F524" s="16" t="n"/>
      <c r="G524" s="16" t="inlineStr">
        <is>
          <t>lab.store@jcb.com</t>
        </is>
      </c>
      <c r="H524" s="16" t="n"/>
    </row>
    <row r="525" ht="15" customHeight="1" s="13">
      <c r="A525" s="20" t="n">
        <v>46078</v>
      </c>
      <c r="B525" s="16" t="inlineStr">
        <is>
          <t>7218/0009</t>
        </is>
      </c>
      <c r="C525" s="16" t="inlineStr">
        <is>
          <t>RECEIPT</t>
        </is>
      </c>
      <c r="D525" s="16" t="n">
        <v>15</v>
      </c>
      <c r="E525" s="16" t="inlineStr">
        <is>
          <t>FOC_TE_14</t>
        </is>
      </c>
      <c r="F525" s="16" t="n"/>
      <c r="G525" s="16" t="inlineStr">
        <is>
          <t>lab.store@jcb.com</t>
        </is>
      </c>
      <c r="H525" s="16" t="n"/>
    </row>
    <row r="526" ht="15" customHeight="1" s="13">
      <c r="A526" s="20" t="n">
        <v>46078</v>
      </c>
      <c r="B526" s="16" t="inlineStr">
        <is>
          <t>7214/0027</t>
        </is>
      </c>
      <c r="C526" s="16" t="inlineStr">
        <is>
          <t>RECEIPT</t>
        </is>
      </c>
      <c r="D526" s="16" t="n">
        <v>10</v>
      </c>
      <c r="E526" s="16" t="inlineStr">
        <is>
          <t>FOC_TE_14</t>
        </is>
      </c>
      <c r="F526" s="16" t="n"/>
      <c r="G526" s="16" t="inlineStr">
        <is>
          <t>lab.store@jcb.com</t>
        </is>
      </c>
      <c r="H526" s="16" t="n"/>
    </row>
    <row r="527" ht="15" customHeight="1" s="13">
      <c r="A527" s="20" t="n">
        <v>46078</v>
      </c>
      <c r="B527" s="16" t="inlineStr">
        <is>
          <t>7219/0273</t>
        </is>
      </c>
      <c r="C527" s="16" t="inlineStr">
        <is>
          <t>RECEIPT</t>
        </is>
      </c>
      <c r="D527" s="16" t="n">
        <v>10</v>
      </c>
      <c r="E527" s="16" t="inlineStr">
        <is>
          <t>FOC_TE_14</t>
        </is>
      </c>
      <c r="F527" s="16" t="n"/>
      <c r="G527" s="16" t="inlineStr">
        <is>
          <t>lab.store@jcb.com</t>
        </is>
      </c>
      <c r="H527" s="16" t="n"/>
    </row>
    <row r="528" ht="15" customHeight="1" s="13">
      <c r="A528" s="20" t="n">
        <v>46078</v>
      </c>
      <c r="B528" s="16" t="inlineStr">
        <is>
          <t>7214/0032</t>
        </is>
      </c>
      <c r="C528" s="16" t="inlineStr">
        <is>
          <t>RECEIPT</t>
        </is>
      </c>
      <c r="D528" s="16" t="n">
        <v>10</v>
      </c>
      <c r="E528" s="16" t="inlineStr">
        <is>
          <t>FOC_TE_14</t>
        </is>
      </c>
      <c r="F528" s="16" t="n"/>
      <c r="G528" s="16" t="inlineStr">
        <is>
          <t>lab.store@jcb.com</t>
        </is>
      </c>
      <c r="H528" s="16" t="n"/>
    </row>
    <row r="529" ht="15" customHeight="1" s="13">
      <c r="A529" s="20" t="n">
        <v>46078</v>
      </c>
      <c r="B529" s="16" t="inlineStr">
        <is>
          <t>7220/0054</t>
        </is>
      </c>
      <c r="C529" s="16" t="inlineStr">
        <is>
          <t>RECEIPT</t>
        </is>
      </c>
      <c r="D529" s="16" t="n">
        <v>5</v>
      </c>
      <c r="E529" s="16" t="inlineStr">
        <is>
          <t>FOC_TE_14</t>
        </is>
      </c>
      <c r="F529" s="16" t="n"/>
      <c r="G529" s="16" t="inlineStr">
        <is>
          <t>lab.store@jcb.com</t>
        </is>
      </c>
      <c r="H529" s="16" t="n"/>
    </row>
    <row r="530" ht="15" customHeight="1" s="13">
      <c r="A530" s="20" t="n">
        <v>46078</v>
      </c>
      <c r="B530" s="16" t="inlineStr">
        <is>
          <t>7204/0001</t>
        </is>
      </c>
      <c r="C530" s="16" t="inlineStr">
        <is>
          <t>RECEIPT</t>
        </is>
      </c>
      <c r="D530" s="16" t="n">
        <v>200</v>
      </c>
      <c r="E530" s="16" t="inlineStr">
        <is>
          <t>FOC_TE_14</t>
        </is>
      </c>
      <c r="F530" s="16" t="n"/>
      <c r="G530" s="16" t="inlineStr">
        <is>
          <t>lab.store@jcb.com</t>
        </is>
      </c>
      <c r="H530" s="16" t="n"/>
    </row>
    <row r="531" ht="15" customHeight="1" s="13">
      <c r="A531" s="20" t="n">
        <v>46090</v>
      </c>
      <c r="B531" s="16" t="inlineStr">
        <is>
          <t>7219/0404</t>
        </is>
      </c>
      <c r="C531" s="16" t="inlineStr">
        <is>
          <t>RECEIPT</t>
        </is>
      </c>
      <c r="D531" s="16" t="n">
        <v>30</v>
      </c>
      <c r="E531" s="16" t="inlineStr">
        <is>
          <t>FOC_TE_14</t>
        </is>
      </c>
      <c r="F531" s="16" t="n"/>
      <c r="G531" s="16" t="inlineStr">
        <is>
          <t>lab.store@jcb.com</t>
        </is>
      </c>
      <c r="H531" s="16" t="n"/>
    </row>
    <row r="532" ht="15" customHeight="1" s="13">
      <c r="A532" s="20" t="n">
        <v>46114</v>
      </c>
      <c r="B532" s="16" t="inlineStr">
        <is>
          <t>7213/0024</t>
        </is>
      </c>
      <c r="C532" s="16" t="inlineStr">
        <is>
          <t>RECEIPT</t>
        </is>
      </c>
      <c r="D532" s="16" t="n">
        <v>10</v>
      </c>
      <c r="E532" s="16" t="inlineStr">
        <is>
          <t>FOC_TE_18</t>
        </is>
      </c>
      <c r="F532" s="16" t="n"/>
      <c r="G532" s="16" t="inlineStr">
        <is>
          <t>lab.store@jcb.com</t>
        </is>
      </c>
      <c r="H532" s="16" t="n"/>
    </row>
    <row r="533" ht="15" customHeight="1" s="13">
      <c r="A533" s="20" t="n">
        <v>46114</v>
      </c>
      <c r="B533" s="16" t="inlineStr">
        <is>
          <t>7201/0094</t>
        </is>
      </c>
      <c r="C533" s="16" t="inlineStr">
        <is>
          <t>RECEIPT</t>
        </is>
      </c>
      <c r="D533" s="16" t="n">
        <v>70</v>
      </c>
      <c r="E533" s="16" t="inlineStr">
        <is>
          <t>FOC_TE_18</t>
        </is>
      </c>
      <c r="F533" s="16" t="n"/>
      <c r="G533" s="16" t="inlineStr">
        <is>
          <t>lab.store@jcb.com</t>
        </is>
      </c>
      <c r="H533" s="16" t="n"/>
    </row>
    <row r="534" ht="15" customHeight="1" s="13">
      <c r="A534" s="20" t="n">
        <v>46114</v>
      </c>
      <c r="B534" s="16" t="inlineStr">
        <is>
          <t>7214/0030</t>
        </is>
      </c>
      <c r="C534" s="16" t="inlineStr">
        <is>
          <t>RECEIPT</t>
        </is>
      </c>
      <c r="D534" s="16" t="n">
        <v>15</v>
      </c>
      <c r="E534" s="16" t="inlineStr">
        <is>
          <t>FOC_TE_18</t>
        </is>
      </c>
      <c r="F534" s="16" t="n"/>
      <c r="G534" s="16" t="inlineStr">
        <is>
          <t>lab.store@jcb.com</t>
        </is>
      </c>
      <c r="H534" s="16" t="n"/>
    </row>
    <row r="535" ht="15" customHeight="1" s="13">
      <c r="A535" s="20" t="n">
        <v>46114</v>
      </c>
      <c r="B535" s="16" t="inlineStr">
        <is>
          <t>7219/0442</t>
        </is>
      </c>
      <c r="C535" s="16" t="inlineStr">
        <is>
          <t>RECEIPT</t>
        </is>
      </c>
      <c r="D535" s="16" t="n">
        <v>10</v>
      </c>
      <c r="E535" s="16" t="inlineStr">
        <is>
          <t>FOC_TE_18</t>
        </is>
      </c>
      <c r="F535" s="16" t="n"/>
      <c r="G535" s="16" t="inlineStr">
        <is>
          <t>lab.store@jcb.com</t>
        </is>
      </c>
      <c r="H535" s="16" t="n"/>
    </row>
    <row r="536" ht="15" customHeight="1" s="13">
      <c r="A536" s="20" t="n">
        <v>46114</v>
      </c>
      <c r="B536" s="16" t="inlineStr">
        <is>
          <t>7212/0031</t>
        </is>
      </c>
      <c r="C536" s="16" t="inlineStr">
        <is>
          <t>RECEIPT</t>
        </is>
      </c>
      <c r="D536" s="16" t="n">
        <v>15</v>
      </c>
      <c r="E536" s="16" t="inlineStr">
        <is>
          <t>FOC_TE_18</t>
        </is>
      </c>
      <c r="F536" s="16" t="n"/>
      <c r="G536" s="16" t="inlineStr">
        <is>
          <t>lab.store@jcb.com</t>
        </is>
      </c>
      <c r="H536" s="16" t="n"/>
    </row>
    <row r="537" ht="15" customHeight="1" s="13">
      <c r="A537" s="20" t="n">
        <v>46114</v>
      </c>
      <c r="B537" s="16" t="inlineStr">
        <is>
          <t>332/T4409</t>
        </is>
      </c>
      <c r="C537" s="16" t="inlineStr">
        <is>
          <t>RECEIPT</t>
        </is>
      </c>
      <c r="D537" s="16" t="n">
        <v>3</v>
      </c>
      <c r="E537" s="16" t="inlineStr">
        <is>
          <t>FOC_TE_18</t>
        </is>
      </c>
      <c r="F537" s="16" t="n"/>
      <c r="G537" s="16" t="inlineStr">
        <is>
          <t>lab.store@jcb.com</t>
        </is>
      </c>
      <c r="H537" s="16" t="n"/>
    </row>
    <row r="538" ht="15" customHeight="1" s="13">
      <c r="A538" s="20" t="n">
        <v>46114</v>
      </c>
      <c r="B538" s="16" t="inlineStr">
        <is>
          <t>7201/0095</t>
        </is>
      </c>
      <c r="C538" s="16" t="inlineStr">
        <is>
          <t>RECEIPT</t>
        </is>
      </c>
      <c r="D538" s="16" t="n">
        <v>100</v>
      </c>
      <c r="E538" s="16" t="inlineStr">
        <is>
          <t>FOC_TE_18</t>
        </is>
      </c>
      <c r="F538" s="16" t="n"/>
      <c r="G538" s="16" t="inlineStr">
        <is>
          <t>lab.store@jcb.com</t>
        </is>
      </c>
      <c r="H538" s="16" t="n"/>
    </row>
    <row r="539" ht="15" customHeight="1" s="13">
      <c r="A539" s="20" t="n">
        <v>46114</v>
      </c>
      <c r="B539" s="16" t="inlineStr">
        <is>
          <t>7204/0036</t>
        </is>
      </c>
      <c r="C539" s="16" t="inlineStr">
        <is>
          <t>RECEIPT</t>
        </is>
      </c>
      <c r="D539" s="16" t="n">
        <v>220</v>
      </c>
      <c r="E539" s="16" t="inlineStr">
        <is>
          <t>FOC_TE_18</t>
        </is>
      </c>
      <c r="F539" s="16" t="n"/>
      <c r="G539" s="16" t="inlineStr">
        <is>
          <t>lab.store@jcb.com</t>
        </is>
      </c>
      <c r="H539" s="16" t="n"/>
    </row>
    <row r="540" ht="15" customHeight="1" s="13">
      <c r="A540" s="20" t="n">
        <v>46114</v>
      </c>
      <c r="B540" s="16" t="inlineStr">
        <is>
          <t>7204/0028</t>
        </is>
      </c>
      <c r="C540" s="16" t="inlineStr">
        <is>
          <t>RECEIPT</t>
        </is>
      </c>
      <c r="D540" s="16" t="n">
        <v>100</v>
      </c>
      <c r="E540" s="16" t="inlineStr">
        <is>
          <t>FOC_TE_18</t>
        </is>
      </c>
      <c r="F540" s="16" t="n"/>
      <c r="G540" s="16" t="inlineStr">
        <is>
          <t>lab.store@jcb.com</t>
        </is>
      </c>
      <c r="H540" s="16" t="n"/>
    </row>
    <row r="541" ht="15" customHeight="1" s="13">
      <c r="A541" s="20" t="n">
        <v>46114</v>
      </c>
      <c r="B541" s="16" t="inlineStr">
        <is>
          <t>7204/0027</t>
        </is>
      </c>
      <c r="C541" s="16" t="inlineStr">
        <is>
          <t>RECEIPT</t>
        </is>
      </c>
      <c r="D541" s="16" t="n">
        <v>70</v>
      </c>
      <c r="E541" s="16" t="inlineStr">
        <is>
          <t>FOC_TE_18</t>
        </is>
      </c>
      <c r="F541" s="16" t="n"/>
      <c r="G541" s="16" t="inlineStr">
        <is>
          <t>lab.store@jcb.com</t>
        </is>
      </c>
      <c r="H541" s="16" t="n"/>
    </row>
    <row r="542" ht="15" customHeight="1" s="13">
      <c r="A542" s="20" t="n">
        <v>46114</v>
      </c>
      <c r="B542" s="16" t="inlineStr">
        <is>
          <t>332/T4414</t>
        </is>
      </c>
      <c r="C542" s="16" t="inlineStr">
        <is>
          <t>RECEIPT</t>
        </is>
      </c>
      <c r="D542" s="16" t="n">
        <v>70</v>
      </c>
      <c r="E542" s="16" t="inlineStr">
        <is>
          <t>FOC_TE_18</t>
        </is>
      </c>
      <c r="F542" s="16" t="n"/>
      <c r="G542" s="16" t="inlineStr">
        <is>
          <t>lab.store@jcb.com</t>
        </is>
      </c>
      <c r="H542" s="16" t="n"/>
    </row>
    <row r="543" ht="15" customHeight="1" s="13">
      <c r="A543" s="20" t="n">
        <v>46114</v>
      </c>
      <c r="B543" s="16" t="inlineStr">
        <is>
          <t>7219/0010</t>
        </is>
      </c>
      <c r="C543" s="16" t="inlineStr">
        <is>
          <t>RECEIPT</t>
        </is>
      </c>
      <c r="D543" s="16" t="n">
        <v>10</v>
      </c>
      <c r="E543" s="16" t="inlineStr">
        <is>
          <t>FOC_TE_18</t>
        </is>
      </c>
      <c r="F543" s="16" t="n"/>
      <c r="G543" s="16" t="inlineStr">
        <is>
          <t>lab.store@jcb.com</t>
        </is>
      </c>
      <c r="H543" s="16" t="n"/>
    </row>
    <row r="544" ht="15" customHeight="1" s="13">
      <c r="A544" s="20" t="n">
        <v>46114</v>
      </c>
      <c r="B544" s="16" t="inlineStr">
        <is>
          <t>7210/0049</t>
        </is>
      </c>
      <c r="C544" s="16" t="inlineStr">
        <is>
          <t>RECEIPT</t>
        </is>
      </c>
      <c r="D544" s="16" t="n">
        <v>10</v>
      </c>
      <c r="E544" s="16" t="inlineStr">
        <is>
          <t>FOC_TE_18</t>
        </is>
      </c>
      <c r="F544" s="16" t="n"/>
      <c r="G544" s="16" t="inlineStr">
        <is>
          <t>lab.store@jcb.com</t>
        </is>
      </c>
      <c r="H544" s="16" t="n"/>
    </row>
    <row r="545" ht="15" customHeight="1" s="13">
      <c r="A545" s="20" t="n">
        <v>46114</v>
      </c>
      <c r="B545" s="16" t="inlineStr">
        <is>
          <t>7219/0024</t>
        </is>
      </c>
      <c r="C545" s="16" t="inlineStr">
        <is>
          <t>RECEIPT</t>
        </is>
      </c>
      <c r="D545" s="16" t="n">
        <v>5</v>
      </c>
      <c r="E545" s="16" t="inlineStr">
        <is>
          <t>FOC_TE_18</t>
        </is>
      </c>
      <c r="F545" s="16" t="n"/>
      <c r="G545" s="16" t="inlineStr">
        <is>
          <t>lab.store@jcb.com</t>
        </is>
      </c>
      <c r="H545" s="16" t="n"/>
    </row>
    <row r="546" ht="15" customHeight="1" s="13">
      <c r="A546" s="20" t="n">
        <v>46114</v>
      </c>
      <c r="B546" s="16" t="inlineStr">
        <is>
          <t>7210/0044</t>
        </is>
      </c>
      <c r="C546" s="16" t="inlineStr">
        <is>
          <t>RECEIPT</t>
        </is>
      </c>
      <c r="D546" s="16" t="n">
        <v>10</v>
      </c>
      <c r="E546" s="16" t="inlineStr">
        <is>
          <t>FOC_TE_18</t>
        </is>
      </c>
      <c r="F546" s="16" t="n"/>
      <c r="G546" s="16" t="inlineStr">
        <is>
          <t>lab.store@jcb.com</t>
        </is>
      </c>
      <c r="H546" s="16" t="n"/>
    </row>
    <row r="547" ht="15" customHeight="1" s="13">
      <c r="A547" s="20" t="n">
        <v>46115</v>
      </c>
      <c r="B547" s="16" t="inlineStr">
        <is>
          <t>MC000RVT1CXX1SQ001</t>
        </is>
      </c>
      <c r="C547" s="16" t="inlineStr">
        <is>
          <t>ISSUE</t>
        </is>
      </c>
      <c r="D547" s="16" t="n">
        <v>22</v>
      </c>
      <c r="E547" s="16" t="inlineStr">
        <is>
          <t>HIST</t>
        </is>
      </c>
      <c r="F547" s="16" t="n"/>
      <c r="G547" s="16" t="inlineStr">
        <is>
          <t>lab.store@jcb.com</t>
        </is>
      </c>
      <c r="H547" s="16" t="inlineStr">
        <is>
          <t>Historic issue</t>
        </is>
      </c>
    </row>
    <row r="548" ht="15" customHeight="1" s="13">
      <c r="A548" s="20" t="n">
        <v>46115</v>
      </c>
      <c r="B548" s="16" t="inlineStr">
        <is>
          <t>7201/0180</t>
        </is>
      </c>
      <c r="C548" s="16" t="inlineStr">
        <is>
          <t>ISSUE</t>
        </is>
      </c>
      <c r="D548" s="16" t="n">
        <v>7</v>
      </c>
      <c r="E548" s="16" t="inlineStr">
        <is>
          <t>HIST</t>
        </is>
      </c>
      <c r="F548" s="16" t="n"/>
      <c r="G548" s="16" t="inlineStr">
        <is>
          <t>lab.store@jcb.com</t>
        </is>
      </c>
      <c r="H548" s="16" t="inlineStr">
        <is>
          <t>Historic issue</t>
        </is>
      </c>
    </row>
    <row r="549" ht="15" customHeight="1" s="13">
      <c r="A549" s="20" t="n">
        <v>46115</v>
      </c>
      <c r="B549" s="16" t="inlineStr">
        <is>
          <t>7210/0205</t>
        </is>
      </c>
      <c r="C549" s="16" t="inlineStr">
        <is>
          <t>ISSUE</t>
        </is>
      </c>
      <c r="D549" s="16" t="n">
        <v>10</v>
      </c>
      <c r="E549" s="16" t="inlineStr">
        <is>
          <t>HIST</t>
        </is>
      </c>
      <c r="F549" s="16" t="n"/>
      <c r="G549" s="16" t="inlineStr">
        <is>
          <t>lab.store@jcb.com</t>
        </is>
      </c>
      <c r="H549" s="16" t="inlineStr">
        <is>
          <t>Historic issue</t>
        </is>
      </c>
    </row>
    <row r="550" ht="15" customHeight="1" s="13">
      <c r="A550" s="20" t="n">
        <v>46116</v>
      </c>
      <c r="B550" s="16" t="inlineStr">
        <is>
          <t>7208/1060</t>
        </is>
      </c>
      <c r="C550" s="16" t="inlineStr">
        <is>
          <t>ISSUE</t>
        </is>
      </c>
      <c r="D550" s="16" t="n">
        <v>28</v>
      </c>
      <c r="E550" s="16" t="inlineStr">
        <is>
          <t>HIST</t>
        </is>
      </c>
      <c r="F550" s="16" t="n"/>
      <c r="G550" s="16" t="inlineStr">
        <is>
          <t>lab.store@jcb.com</t>
        </is>
      </c>
      <c r="H550" s="16" t="inlineStr">
        <is>
          <t>Historic issue</t>
        </is>
      </c>
    </row>
    <row r="551" ht="15" customHeight="1" s="13">
      <c r="A551" s="20" t="n">
        <v>46116</v>
      </c>
      <c r="B551" s="16" t="inlineStr">
        <is>
          <t>7201/0187</t>
        </is>
      </c>
      <c r="C551" s="16" t="inlineStr">
        <is>
          <t>ISSUE</t>
        </is>
      </c>
      <c r="D551" s="16" t="n">
        <v>64</v>
      </c>
      <c r="E551" s="16" t="inlineStr">
        <is>
          <t>HIST</t>
        </is>
      </c>
      <c r="F551" s="16" t="n"/>
      <c r="G551" s="16" t="inlineStr">
        <is>
          <t>lab.store@jcb.com</t>
        </is>
      </c>
      <c r="H551" s="16" t="inlineStr">
        <is>
          <t>Historic issue</t>
        </is>
      </c>
    </row>
    <row r="552" ht="15" customHeight="1" s="13">
      <c r="A552" s="20" t="n">
        <v>46117</v>
      </c>
      <c r="B552" s="16" t="inlineStr">
        <is>
          <t>701/4887</t>
        </is>
      </c>
      <c r="C552" s="16" t="inlineStr">
        <is>
          <t>ISSUE</t>
        </is>
      </c>
      <c r="D552" s="16" t="n">
        <v>2</v>
      </c>
      <c r="E552" s="16" t="inlineStr">
        <is>
          <t>HIST</t>
        </is>
      </c>
      <c r="F552" s="16" t="n"/>
      <c r="G552" s="16" t="inlineStr">
        <is>
          <t>lab.store@jcb.com</t>
        </is>
      </c>
      <c r="H552" s="16" t="inlineStr">
        <is>
          <t>Historic issue</t>
        </is>
      </c>
    </row>
    <row r="553" ht="15" customHeight="1" s="13">
      <c r="A553" s="20" t="n">
        <v>46118</v>
      </c>
      <c r="B553" s="16" t="inlineStr">
        <is>
          <t>7000/3207</t>
        </is>
      </c>
      <c r="C553" s="16" t="inlineStr">
        <is>
          <t>ISSUE</t>
        </is>
      </c>
      <c r="D553" s="16" t="n">
        <v>89</v>
      </c>
      <c r="E553" s="16" t="inlineStr">
        <is>
          <t>HIST</t>
        </is>
      </c>
      <c r="F553" s="16" t="n"/>
      <c r="G553" s="16" t="inlineStr">
        <is>
          <t>lab.store@jcb.com</t>
        </is>
      </c>
      <c r="H553" s="16" t="inlineStr">
        <is>
          <t>Historic issue</t>
        </is>
      </c>
    </row>
    <row r="554" ht="15" customHeight="1" s="13">
      <c r="A554" s="20" t="n">
        <v>46118</v>
      </c>
      <c r="B554" s="16" t="inlineStr">
        <is>
          <t>7205/0250</t>
        </is>
      </c>
      <c r="C554" s="16" t="inlineStr">
        <is>
          <t>ISSUE</t>
        </is>
      </c>
      <c r="D554" s="16" t="n">
        <v>25</v>
      </c>
      <c r="E554" s="16" t="inlineStr">
        <is>
          <t>HIST</t>
        </is>
      </c>
      <c r="F554" s="16" t="n"/>
      <c r="G554" s="16" t="inlineStr">
        <is>
          <t>lab.store@jcb.com</t>
        </is>
      </c>
      <c r="H554" s="16" t="inlineStr">
        <is>
          <t>Historic issue</t>
        </is>
      </c>
    </row>
    <row r="555" ht="15" customHeight="1" s="13">
      <c r="A555" s="20" t="n">
        <v>46118</v>
      </c>
      <c r="B555" s="16" t="inlineStr">
        <is>
          <t>7204/0088</t>
        </is>
      </c>
      <c r="C555" s="16" t="inlineStr">
        <is>
          <t>ISSUE</t>
        </is>
      </c>
      <c r="D555" s="16" t="n">
        <v>8</v>
      </c>
      <c r="E555" s="16" t="inlineStr">
        <is>
          <t>HIST</t>
        </is>
      </c>
      <c r="F555" s="16" t="n"/>
      <c r="G555" s="16" t="inlineStr">
        <is>
          <t>lab.store@jcb.com</t>
        </is>
      </c>
      <c r="H555" s="16" t="inlineStr">
        <is>
          <t>Historic issue</t>
        </is>
      </c>
    </row>
    <row r="556" ht="15" customHeight="1" s="13">
      <c r="A556" s="20" t="n">
        <v>46118</v>
      </c>
      <c r="B556" s="16" t="inlineStr">
        <is>
          <t>7216/0015</t>
        </is>
      </c>
      <c r="C556" s="16" t="inlineStr">
        <is>
          <t>ISSUE</t>
        </is>
      </c>
      <c r="D556" s="16" t="n">
        <v>6</v>
      </c>
      <c r="E556" s="16" t="inlineStr">
        <is>
          <t>HIST</t>
        </is>
      </c>
      <c r="F556" s="16" t="n"/>
      <c r="G556" s="16" t="inlineStr">
        <is>
          <t>lab.store@jcb.com</t>
        </is>
      </c>
      <c r="H556" s="16" t="inlineStr">
        <is>
          <t>Historic issue</t>
        </is>
      </c>
    </row>
    <row r="557" ht="15" customHeight="1" s="13">
      <c r="A557" s="20" t="n">
        <v>46120</v>
      </c>
      <c r="B557" s="16" t="inlineStr">
        <is>
          <t>MC000RVT1CXX1SQ004</t>
        </is>
      </c>
      <c r="C557" s="16" t="inlineStr">
        <is>
          <t>ISSUE</t>
        </is>
      </c>
      <c r="D557" s="16" t="n">
        <v>31</v>
      </c>
      <c r="E557" s="16" t="inlineStr">
        <is>
          <t>HIST</t>
        </is>
      </c>
      <c r="F557" s="16" t="n"/>
      <c r="G557" s="16" t="inlineStr">
        <is>
          <t>lab.store@jcb.com</t>
        </is>
      </c>
      <c r="H557" s="16" t="inlineStr">
        <is>
          <t>Historic issue</t>
        </is>
      </c>
    </row>
    <row r="558" ht="15" customHeight="1" s="13">
      <c r="A558" s="20" t="n">
        <v>46120</v>
      </c>
      <c r="B558" s="16" t="inlineStr">
        <is>
          <t>MC000TCNRVSTXXX001</t>
        </is>
      </c>
      <c r="C558" s="16" t="inlineStr">
        <is>
          <t>ISSUE</t>
        </is>
      </c>
      <c r="D558" s="16" t="n">
        <v>71</v>
      </c>
      <c r="E558" s="16" t="inlineStr">
        <is>
          <t>HIST</t>
        </is>
      </c>
      <c r="F558" s="16" t="n"/>
      <c r="G558" s="16" t="inlineStr">
        <is>
          <t>lab.store@jcb.com</t>
        </is>
      </c>
      <c r="H558" s="16" t="inlineStr">
        <is>
          <t>Historic issue</t>
        </is>
      </c>
    </row>
    <row r="559" ht="15" customHeight="1" s="13">
      <c r="A559" s="20" t="n">
        <v>46121</v>
      </c>
      <c r="B559" s="16" t="inlineStr">
        <is>
          <t>7201/0683</t>
        </is>
      </c>
      <c r="C559" s="16" t="inlineStr">
        <is>
          <t>ISSUE</t>
        </is>
      </c>
      <c r="D559" s="16" t="n">
        <v>17</v>
      </c>
      <c r="E559" s="16" t="inlineStr">
        <is>
          <t>HIST</t>
        </is>
      </c>
      <c r="F559" s="16" t="n"/>
      <c r="G559" s="16" t="inlineStr">
        <is>
          <t>lab.store@jcb.com</t>
        </is>
      </c>
      <c r="H559" s="16" t="inlineStr">
        <is>
          <t>Historic issue</t>
        </is>
      </c>
    </row>
    <row r="560" ht="15" customHeight="1" s="13">
      <c r="A560" s="20" t="n">
        <v>46121</v>
      </c>
      <c r="B560" s="16" t="inlineStr">
        <is>
          <t>7214/0030</t>
        </is>
      </c>
      <c r="C560" s="16" t="inlineStr">
        <is>
          <t>ISSUE</t>
        </is>
      </c>
      <c r="D560" s="16" t="n">
        <v>10</v>
      </c>
      <c r="E560" s="16" t="inlineStr">
        <is>
          <t>HIST</t>
        </is>
      </c>
      <c r="F560" s="16" t="n"/>
      <c r="G560" s="16" t="inlineStr">
        <is>
          <t>lab.store@jcb.com</t>
        </is>
      </c>
      <c r="H560" s="16" t="inlineStr">
        <is>
          <t>Historic issue</t>
        </is>
      </c>
    </row>
    <row r="561" ht="15" customHeight="1" s="13">
      <c r="A561" s="20" t="n">
        <v>46121</v>
      </c>
      <c r="B561" s="16" t="inlineStr">
        <is>
          <t>7201/1133</t>
        </is>
      </c>
      <c r="C561" s="16" t="inlineStr">
        <is>
          <t>ISSUE</t>
        </is>
      </c>
      <c r="D561" s="16" t="n">
        <v>64</v>
      </c>
      <c r="E561" s="16" t="inlineStr">
        <is>
          <t>HIST</t>
        </is>
      </c>
      <c r="F561" s="16" t="n"/>
      <c r="G561" s="16" t="inlineStr">
        <is>
          <t>lab.store@jcb.com</t>
        </is>
      </c>
      <c r="H561" s="16" t="inlineStr">
        <is>
          <t>Historic issue</t>
        </is>
      </c>
    </row>
    <row r="562" ht="15" customHeight="1" s="13">
      <c r="A562" s="20" t="n">
        <v>46123</v>
      </c>
      <c r="B562" s="16" t="inlineStr">
        <is>
          <t>7210/0129</t>
        </is>
      </c>
      <c r="C562" s="16" t="inlineStr">
        <is>
          <t>ISSUE</t>
        </is>
      </c>
      <c r="D562" s="16" t="n">
        <v>4</v>
      </c>
      <c r="E562" s="16" t="inlineStr">
        <is>
          <t>HIST</t>
        </is>
      </c>
      <c r="F562" s="16" t="n"/>
      <c r="G562" s="16" t="inlineStr">
        <is>
          <t>lab.store@jcb.com</t>
        </is>
      </c>
      <c r="H562" s="16" t="inlineStr">
        <is>
          <t>Historic issue</t>
        </is>
      </c>
    </row>
    <row r="563" ht="15" customHeight="1" s="13">
      <c r="A563" s="20" t="n">
        <v>46123</v>
      </c>
      <c r="B563" s="16" t="inlineStr">
        <is>
          <t>7219/0271</t>
        </is>
      </c>
      <c r="C563" s="16" t="inlineStr">
        <is>
          <t>ISSUE</t>
        </is>
      </c>
      <c r="D563" s="16" t="n">
        <v>4</v>
      </c>
      <c r="E563" s="16" t="inlineStr">
        <is>
          <t>HIST</t>
        </is>
      </c>
      <c r="F563" s="16" t="n"/>
      <c r="G563" s="16" t="inlineStr">
        <is>
          <t>lab.store@jcb.com</t>
        </is>
      </c>
      <c r="H563" s="16" t="inlineStr">
        <is>
          <t>Historic issue</t>
        </is>
      </c>
    </row>
    <row r="564" ht="15" customHeight="1" s="13">
      <c r="A564" s="20" t="n">
        <v>46124</v>
      </c>
      <c r="B564" s="16" t="inlineStr">
        <is>
          <t>7208/1050</t>
        </is>
      </c>
      <c r="C564" s="16" t="inlineStr">
        <is>
          <t>ISSUE</t>
        </is>
      </c>
      <c r="D564" s="16" t="n">
        <v>22</v>
      </c>
      <c r="E564" s="16" t="inlineStr">
        <is>
          <t>HIST</t>
        </is>
      </c>
      <c r="F564" s="16" t="n"/>
      <c r="G564" s="16" t="inlineStr">
        <is>
          <t>lab.store@jcb.com</t>
        </is>
      </c>
      <c r="H564" s="16" t="inlineStr">
        <is>
          <t>Historic issue</t>
        </is>
      </c>
    </row>
    <row r="565" ht="15" customHeight="1" s="13">
      <c r="A565" s="20" t="n">
        <v>46126</v>
      </c>
      <c r="B565" s="16" t="inlineStr">
        <is>
          <t>7210/0239</t>
        </is>
      </c>
      <c r="C565" s="16" t="inlineStr">
        <is>
          <t>ISSUE</t>
        </is>
      </c>
      <c r="D565" s="16" t="n">
        <v>40</v>
      </c>
      <c r="E565" s="16" t="inlineStr">
        <is>
          <t>HIST</t>
        </is>
      </c>
      <c r="F565" s="16" t="n"/>
      <c r="G565" s="16" t="inlineStr">
        <is>
          <t>lab.store@jcb.com</t>
        </is>
      </c>
      <c r="H565" s="16" t="inlineStr">
        <is>
          <t>Historic issue</t>
        </is>
      </c>
    </row>
    <row r="566" ht="15" customHeight="1" s="13">
      <c r="A566" s="20" t="n">
        <v>46128</v>
      </c>
      <c r="B566" s="16" t="inlineStr">
        <is>
          <t>7207/1501</t>
        </is>
      </c>
      <c r="C566" s="16" t="inlineStr">
        <is>
          <t>ISSUE</t>
        </is>
      </c>
      <c r="D566" s="16" t="n">
        <v>38</v>
      </c>
      <c r="E566" s="16" t="inlineStr">
        <is>
          <t>HIST</t>
        </is>
      </c>
      <c r="F566" s="16" t="n"/>
      <c r="G566" s="16" t="inlineStr">
        <is>
          <t>lab.store@jcb.com</t>
        </is>
      </c>
      <c r="H566" s="16" t="inlineStr">
        <is>
          <t>Historic issue</t>
        </is>
      </c>
    </row>
    <row r="567" ht="15" customHeight="1" s="13">
      <c r="A567" s="20" t="n">
        <v>46129</v>
      </c>
      <c r="B567" s="16" t="inlineStr">
        <is>
          <t>MC000ACZAUN7IG 9001</t>
        </is>
      </c>
      <c r="C567" s="16" t="inlineStr">
        <is>
          <t>ISSUE</t>
        </is>
      </c>
      <c r="D567" s="16" t="n">
        <v>2</v>
      </c>
      <c r="E567" s="16" t="inlineStr">
        <is>
          <t>HIST</t>
        </is>
      </c>
      <c r="F567" s="16" t="n"/>
      <c r="G567" s="16" t="inlineStr">
        <is>
          <t>lab.store@jcb.com</t>
        </is>
      </c>
      <c r="H567" s="16" t="inlineStr">
        <is>
          <t>Historic issue</t>
        </is>
      </c>
    </row>
    <row r="568" ht="15" customHeight="1" s="13">
      <c r="A568" s="20" t="n">
        <v>46129</v>
      </c>
      <c r="B568" s="16" t="inlineStr">
        <is>
          <t>7243/0202</t>
        </is>
      </c>
      <c r="C568" s="16" t="inlineStr">
        <is>
          <t>ISSUE</t>
        </is>
      </c>
      <c r="D568" s="16" t="n">
        <v>7</v>
      </c>
      <c r="E568" s="16" t="inlineStr">
        <is>
          <t>HIST</t>
        </is>
      </c>
      <c r="F568" s="16" t="n"/>
      <c r="G568" s="16" t="inlineStr">
        <is>
          <t>lab.store@jcb.com</t>
        </is>
      </c>
      <c r="H568" s="16" t="inlineStr">
        <is>
          <t>Historic issue</t>
        </is>
      </c>
    </row>
    <row r="569" ht="15" customHeight="1" s="13">
      <c r="A569" s="20" t="n">
        <v>46129</v>
      </c>
      <c r="B569" s="16" t="inlineStr">
        <is>
          <t>7201/0833</t>
        </is>
      </c>
      <c r="C569" s="16" t="inlineStr">
        <is>
          <t>ISSUE</t>
        </is>
      </c>
      <c r="D569" s="16" t="n">
        <v>21</v>
      </c>
      <c r="E569" s="16" t="inlineStr">
        <is>
          <t>HIST</t>
        </is>
      </c>
      <c r="F569" s="16" t="n"/>
      <c r="G569" s="16" t="inlineStr">
        <is>
          <t>lab.store@jcb.com</t>
        </is>
      </c>
      <c r="H569" s="16" t="inlineStr">
        <is>
          <t>Historic issue</t>
        </is>
      </c>
    </row>
    <row r="570" ht="15" customHeight="1" s="13">
      <c r="A570" s="20" t="n">
        <v>46130</v>
      </c>
      <c r="B570" s="16" t="inlineStr">
        <is>
          <t>7210/0088</t>
        </is>
      </c>
      <c r="C570" s="16" t="inlineStr">
        <is>
          <t>ISSUE</t>
        </is>
      </c>
      <c r="D570" s="16" t="n">
        <v>6</v>
      </c>
      <c r="E570" s="16" t="inlineStr">
        <is>
          <t>HIST</t>
        </is>
      </c>
      <c r="F570" s="16" t="n"/>
      <c r="G570" s="16" t="inlineStr">
        <is>
          <t>lab.store@jcb.com</t>
        </is>
      </c>
      <c r="H570" s="16" t="inlineStr">
        <is>
          <t>Historic issue</t>
        </is>
      </c>
    </row>
    <row r="571" ht="15" customHeight="1" s="13">
      <c r="A571" s="20" t="n">
        <v>46130</v>
      </c>
      <c r="B571" s="16" t="inlineStr">
        <is>
          <t>7219/0442</t>
        </is>
      </c>
      <c r="C571" s="16" t="inlineStr">
        <is>
          <t>ISSUE</t>
        </is>
      </c>
      <c r="D571" s="16" t="n">
        <v>6</v>
      </c>
      <c r="E571" s="16" t="inlineStr">
        <is>
          <t>HIST</t>
        </is>
      </c>
      <c r="F571" s="16" t="n"/>
      <c r="G571" s="16" t="inlineStr">
        <is>
          <t>lab.store@jcb.com</t>
        </is>
      </c>
      <c r="H571" s="16" t="inlineStr">
        <is>
          <t>Historic issue</t>
        </is>
      </c>
    </row>
    <row r="572" ht="15" customHeight="1" s="13">
      <c r="A572" s="20" t="n">
        <v>46133</v>
      </c>
      <c r="B572" s="16" t="inlineStr">
        <is>
          <t>7213/0083</t>
        </is>
      </c>
      <c r="C572" s="16" t="inlineStr">
        <is>
          <t>ISSUE</t>
        </is>
      </c>
      <c r="D572" s="16" t="n">
        <v>13</v>
      </c>
      <c r="E572" s="16" t="inlineStr">
        <is>
          <t>HIST</t>
        </is>
      </c>
      <c r="F572" s="16" t="n"/>
      <c r="G572" s="16" t="inlineStr">
        <is>
          <t>lab.store@jcb.com</t>
        </is>
      </c>
      <c r="H572" s="16" t="inlineStr">
        <is>
          <t>Historic issue</t>
        </is>
      </c>
    </row>
    <row r="573" ht="15" customHeight="1" s="13">
      <c r="A573" s="20" t="n">
        <v>46136</v>
      </c>
      <c r="B573" s="16" t="inlineStr">
        <is>
          <t>7213/0099</t>
        </is>
      </c>
      <c r="C573" s="16" t="inlineStr">
        <is>
          <t>ISSUE</t>
        </is>
      </c>
      <c r="D573" s="16" t="n">
        <v>6</v>
      </c>
      <c r="E573" s="16" t="inlineStr">
        <is>
          <t>HIST</t>
        </is>
      </c>
      <c r="F573" s="16" t="n"/>
      <c r="G573" s="16" t="inlineStr">
        <is>
          <t>lab.store@jcb.com</t>
        </is>
      </c>
      <c r="H573" s="16" t="inlineStr">
        <is>
          <t>Historic issue</t>
        </is>
      </c>
    </row>
    <row r="574" ht="15" customHeight="1" s="13">
      <c r="A574" s="20" t="n">
        <v>46136</v>
      </c>
      <c r="B574" s="16" t="inlineStr">
        <is>
          <t>7214/0024</t>
        </is>
      </c>
      <c r="C574" s="16" t="inlineStr">
        <is>
          <t>ISSUE</t>
        </is>
      </c>
      <c r="D574" s="16" t="n">
        <v>13</v>
      </c>
      <c r="E574" s="16" t="inlineStr">
        <is>
          <t>HIST</t>
        </is>
      </c>
      <c r="F574" s="16" t="n"/>
      <c r="G574" s="16" t="inlineStr">
        <is>
          <t>lab.store@jcb.com</t>
        </is>
      </c>
      <c r="H574" s="16" t="inlineStr">
        <is>
          <t>Historic issue</t>
        </is>
      </c>
    </row>
    <row r="575" ht="15" customHeight="1" s="13">
      <c r="A575" s="20" t="n">
        <v>46136</v>
      </c>
      <c r="B575" s="16" t="inlineStr">
        <is>
          <t>7216/0013</t>
        </is>
      </c>
      <c r="C575" s="16" t="inlineStr">
        <is>
          <t>ISSUE</t>
        </is>
      </c>
      <c r="D575" s="16" t="n">
        <v>14</v>
      </c>
      <c r="E575" s="16" t="inlineStr">
        <is>
          <t>HIST</t>
        </is>
      </c>
      <c r="F575" s="16" t="n"/>
      <c r="G575" s="16" t="inlineStr">
        <is>
          <t>lab.store@jcb.com</t>
        </is>
      </c>
      <c r="H575" s="16" t="inlineStr">
        <is>
          <t>Historic issue</t>
        </is>
      </c>
    </row>
    <row r="576" ht="15" customHeight="1" s="13">
      <c r="A576" s="20" t="n">
        <v>46137</v>
      </c>
      <c r="B576" s="16" t="inlineStr">
        <is>
          <t>7243/0323</t>
        </is>
      </c>
      <c r="C576" s="16" t="inlineStr">
        <is>
          <t>ISSUE</t>
        </is>
      </c>
      <c r="D576" s="16" t="n">
        <v>19</v>
      </c>
      <c r="E576" s="16" t="inlineStr">
        <is>
          <t>HIST</t>
        </is>
      </c>
      <c r="F576" s="16" t="n"/>
      <c r="G576" s="16" t="inlineStr">
        <is>
          <t>lab.store@jcb.com</t>
        </is>
      </c>
      <c r="H576" s="16" t="inlineStr">
        <is>
          <t>Historic issue</t>
        </is>
      </c>
    </row>
    <row r="577" ht="15" customHeight="1" s="13">
      <c r="A577" s="20" t="n">
        <v>46137</v>
      </c>
      <c r="B577" s="16" t="inlineStr">
        <is>
          <t>7243/0361</t>
        </is>
      </c>
      <c r="C577" s="16" t="inlineStr">
        <is>
          <t>ISSUE</t>
        </is>
      </c>
      <c r="D577" s="16" t="n">
        <v>19</v>
      </c>
      <c r="E577" s="16" t="inlineStr">
        <is>
          <t>HIST</t>
        </is>
      </c>
      <c r="F577" s="16" t="n"/>
      <c r="G577" s="16" t="inlineStr">
        <is>
          <t>lab.store@jcb.com</t>
        </is>
      </c>
      <c r="H577" s="16" t="inlineStr">
        <is>
          <t>Historic issue</t>
        </is>
      </c>
    </row>
    <row r="578" ht="15" customHeight="1" s="13">
      <c r="A578" s="20" t="n">
        <v>46138</v>
      </c>
      <c r="B578" s="16" t="inlineStr">
        <is>
          <t>7218/0083</t>
        </is>
      </c>
      <c r="C578" s="16" t="inlineStr">
        <is>
          <t>ISSUE</t>
        </is>
      </c>
      <c r="D578" s="16" t="n">
        <v>3</v>
      </c>
      <c r="E578" s="16" t="inlineStr">
        <is>
          <t>HIST</t>
        </is>
      </c>
      <c r="F578" s="16" t="n"/>
      <c r="G578" s="16" t="inlineStr">
        <is>
          <t>lab.store@jcb.com</t>
        </is>
      </c>
      <c r="H578" s="16" t="inlineStr">
        <is>
          <t>Historic issue</t>
        </is>
      </c>
    </row>
    <row r="579" ht="15" customHeight="1" s="13">
      <c r="A579" s="20" t="n">
        <v>46138</v>
      </c>
      <c r="B579" s="16" t="inlineStr">
        <is>
          <t>7243/0784</t>
        </is>
      </c>
      <c r="C579" s="16" t="inlineStr">
        <is>
          <t>ISSUE</t>
        </is>
      </c>
      <c r="D579" s="16" t="n">
        <v>1</v>
      </c>
      <c r="E579" s="16" t="inlineStr">
        <is>
          <t>HIST</t>
        </is>
      </c>
      <c r="F579" s="16" t="n"/>
      <c r="G579" s="16" t="inlineStr">
        <is>
          <t>lab.store@jcb.com</t>
        </is>
      </c>
      <c r="H579" s="16" t="inlineStr">
        <is>
          <t>Historic issue</t>
        </is>
      </c>
    </row>
    <row r="580" ht="15" customHeight="1" s="13">
      <c r="A580" s="20" t="n">
        <v>46138</v>
      </c>
      <c r="B580" s="16" t="inlineStr">
        <is>
          <t>332/E9928</t>
        </is>
      </c>
      <c r="C580" s="16" t="inlineStr">
        <is>
          <t>ISSUE</t>
        </is>
      </c>
      <c r="D580" s="16" t="n">
        <v>4</v>
      </c>
      <c r="E580" s="16" t="inlineStr">
        <is>
          <t>HIST</t>
        </is>
      </c>
      <c r="F580" s="16" t="n"/>
      <c r="G580" s="16" t="inlineStr">
        <is>
          <t>lab.store@jcb.com</t>
        </is>
      </c>
      <c r="H580" s="16" t="inlineStr">
        <is>
          <t>Historic issue</t>
        </is>
      </c>
    </row>
    <row r="581" ht="15" customHeight="1" s="13">
      <c r="A581" s="20" t="n">
        <v>46139</v>
      </c>
      <c r="B581" s="16" t="inlineStr">
        <is>
          <t>7201/0764</t>
        </is>
      </c>
      <c r="C581" s="16" t="inlineStr">
        <is>
          <t>ISSUE</t>
        </is>
      </c>
      <c r="D581" s="16" t="n">
        <v>95</v>
      </c>
      <c r="E581" s="16" t="inlineStr">
        <is>
          <t>HIST</t>
        </is>
      </c>
      <c r="F581" s="16" t="n"/>
      <c r="G581" s="16" t="inlineStr">
        <is>
          <t>lab.store@jcb.com</t>
        </is>
      </c>
      <c r="H581" s="16" t="inlineStr">
        <is>
          <t>Historic issue</t>
        </is>
      </c>
    </row>
    <row r="582" ht="15" customHeight="1" s="13">
      <c r="A582" s="20" t="n">
        <v>46143</v>
      </c>
      <c r="B582" s="16" t="inlineStr">
        <is>
          <t>7204/0028</t>
        </is>
      </c>
      <c r="C582" s="16" t="inlineStr">
        <is>
          <t>ISSUE</t>
        </is>
      </c>
      <c r="D582" s="16" t="n">
        <v>135</v>
      </c>
      <c r="E582" s="16" t="inlineStr">
        <is>
          <t>HIST</t>
        </is>
      </c>
      <c r="F582" s="16" t="n"/>
      <c r="G582" s="16" t="inlineStr">
        <is>
          <t>lab.store@jcb.com</t>
        </is>
      </c>
      <c r="H582" s="16" t="inlineStr">
        <is>
          <t>Historic issue</t>
        </is>
      </c>
    </row>
    <row r="583" ht="15" customHeight="1" s="13">
      <c r="A583" s="20" t="n">
        <v>46143</v>
      </c>
      <c r="B583" s="16" t="inlineStr">
        <is>
          <t>7243/0002</t>
        </is>
      </c>
      <c r="C583" s="16" t="inlineStr">
        <is>
          <t>ISSUE</t>
        </is>
      </c>
      <c r="D583" s="16" t="n">
        <v>10</v>
      </c>
      <c r="E583" s="16" t="inlineStr">
        <is>
          <t>HIST</t>
        </is>
      </c>
      <c r="F583" s="16" t="n"/>
      <c r="G583" s="16" t="inlineStr">
        <is>
          <t>lab.store@jcb.com</t>
        </is>
      </c>
      <c r="H583" s="16" t="inlineStr">
        <is>
          <t>Historic issue</t>
        </is>
      </c>
    </row>
    <row r="584" ht="15" customHeight="1" s="13">
      <c r="A584" s="20" t="n">
        <v>46143</v>
      </c>
      <c r="B584" s="16" t="inlineStr">
        <is>
          <t>P_CON_FER_KIRON_03</t>
        </is>
      </c>
      <c r="C584" s="16" t="inlineStr">
        <is>
          <t>ISSUE</t>
        </is>
      </c>
      <c r="D584" s="16" t="n">
        <v>77</v>
      </c>
      <c r="E584" s="16" t="inlineStr">
        <is>
          <t>HIST</t>
        </is>
      </c>
      <c r="F584" s="16" t="n"/>
      <c r="G584" s="16" t="inlineStr">
        <is>
          <t>lab.store@jcb.com</t>
        </is>
      </c>
      <c r="H584" s="16" t="inlineStr">
        <is>
          <t>Historic issue</t>
        </is>
      </c>
    </row>
    <row r="585" ht="15" customHeight="1" s="13">
      <c r="A585" s="20" t="n">
        <v>46144</v>
      </c>
      <c r="B585" s="16" t="inlineStr">
        <is>
          <t>332/C8190</t>
        </is>
      </c>
      <c r="C585" s="16" t="inlineStr">
        <is>
          <t>ISSUE</t>
        </is>
      </c>
      <c r="D585" s="16" t="n">
        <v>5</v>
      </c>
      <c r="E585" s="16" t="inlineStr">
        <is>
          <t>HIST</t>
        </is>
      </c>
      <c r="F585" s="16" t="n"/>
      <c r="G585" s="16" t="inlineStr">
        <is>
          <t>lab.store@jcb.com</t>
        </is>
      </c>
      <c r="H585" s="16" t="inlineStr">
        <is>
          <t>Historic issue</t>
        </is>
      </c>
    </row>
    <row r="586" ht="15" customHeight="1" s="13">
      <c r="A586" s="20" t="n">
        <v>46144</v>
      </c>
      <c r="B586" s="16" t="inlineStr">
        <is>
          <t>7218/0001</t>
        </is>
      </c>
      <c r="C586" s="16" t="inlineStr">
        <is>
          <t>ISSUE</t>
        </is>
      </c>
      <c r="D586" s="16" t="n">
        <v>12</v>
      </c>
      <c r="E586" s="16" t="inlineStr">
        <is>
          <t>HIST</t>
        </is>
      </c>
      <c r="F586" s="16" t="n"/>
      <c r="G586" s="16" t="inlineStr">
        <is>
          <t>lab.store@jcb.com</t>
        </is>
      </c>
      <c r="H586" s="16" t="inlineStr">
        <is>
          <t>Historic issue</t>
        </is>
      </c>
    </row>
    <row r="587" ht="15" customHeight="1" s="13">
      <c r="A587" s="20" t="n">
        <v>46145</v>
      </c>
      <c r="B587" s="16" t="inlineStr">
        <is>
          <t>7219/0005</t>
        </is>
      </c>
      <c r="C587" s="16" t="inlineStr">
        <is>
          <t>ISSUE</t>
        </is>
      </c>
      <c r="D587" s="16" t="n">
        <v>18</v>
      </c>
      <c r="E587" s="16" t="inlineStr">
        <is>
          <t>HIST</t>
        </is>
      </c>
      <c r="F587" s="16" t="n"/>
      <c r="G587" s="16" t="inlineStr">
        <is>
          <t>lab.store@jcb.com</t>
        </is>
      </c>
      <c r="H587" s="16" t="inlineStr">
        <is>
          <t>Historic issue</t>
        </is>
      </c>
    </row>
    <row r="588" ht="15" customHeight="1" s="13">
      <c r="A588" s="20" t="n">
        <v>46145</v>
      </c>
      <c r="B588" s="16" t="inlineStr">
        <is>
          <t>7201/0657</t>
        </is>
      </c>
      <c r="C588" s="16" t="inlineStr">
        <is>
          <t>ISSUE</t>
        </is>
      </c>
      <c r="D588" s="16" t="n">
        <v>186</v>
      </c>
      <c r="E588" s="16" t="inlineStr">
        <is>
          <t>HIST</t>
        </is>
      </c>
      <c r="F588" s="16" t="n"/>
      <c r="G588" s="16" t="inlineStr">
        <is>
          <t>lab.store@jcb.com</t>
        </is>
      </c>
      <c r="H588" s="16" t="inlineStr">
        <is>
          <t>Historic issue</t>
        </is>
      </c>
    </row>
    <row r="589" ht="15" customHeight="1" s="13">
      <c r="A589" s="20" t="n">
        <v>46145</v>
      </c>
      <c r="B589" s="16" t="inlineStr">
        <is>
          <t>7213/0031</t>
        </is>
      </c>
      <c r="C589" s="16" t="inlineStr">
        <is>
          <t>ISSUE</t>
        </is>
      </c>
      <c r="D589" s="16" t="n">
        <v>33</v>
      </c>
      <c r="E589" s="16" t="inlineStr">
        <is>
          <t>HIST</t>
        </is>
      </c>
      <c r="F589" s="16" t="n"/>
      <c r="G589" s="16" t="inlineStr">
        <is>
          <t>lab.store@jcb.com</t>
        </is>
      </c>
      <c r="H589" s="16" t="inlineStr">
        <is>
          <t>Historic issue</t>
        </is>
      </c>
    </row>
    <row r="590" ht="15" customHeight="1" s="13">
      <c r="A590" s="20" t="n">
        <v>46145</v>
      </c>
      <c r="B590" s="16" t="inlineStr">
        <is>
          <t>7204/0113</t>
        </is>
      </c>
      <c r="C590" s="16" t="inlineStr">
        <is>
          <t>ISSUE</t>
        </is>
      </c>
      <c r="D590" s="16" t="n">
        <v>156</v>
      </c>
      <c r="E590" s="16" t="inlineStr">
        <is>
          <t>HIST</t>
        </is>
      </c>
      <c r="F590" s="16" t="n"/>
      <c r="G590" s="16" t="inlineStr">
        <is>
          <t>lab.store@jcb.com</t>
        </is>
      </c>
      <c r="H590" s="16" t="inlineStr">
        <is>
          <t>Historic issue</t>
        </is>
      </c>
    </row>
    <row r="591" ht="15" customHeight="1" s="13">
      <c r="A591" s="20" t="n">
        <v>46146</v>
      </c>
      <c r="B591" s="16" t="inlineStr">
        <is>
          <t>7243/0427</t>
        </is>
      </c>
      <c r="C591" s="16" t="inlineStr">
        <is>
          <t>ISSUE</t>
        </is>
      </c>
      <c r="D591" s="16" t="n">
        <v>14</v>
      </c>
      <c r="E591" s="16" t="inlineStr">
        <is>
          <t>HIST</t>
        </is>
      </c>
      <c r="F591" s="16" t="n"/>
      <c r="G591" s="16" t="inlineStr">
        <is>
          <t>lab.store@jcb.com</t>
        </is>
      </c>
      <c r="H591" s="16" t="inlineStr">
        <is>
          <t>Historic issue</t>
        </is>
      </c>
    </row>
    <row r="592" ht="15" customHeight="1" s="13">
      <c r="A592" s="20" t="n">
        <v>46147</v>
      </c>
      <c r="B592" s="16" t="inlineStr">
        <is>
          <t>7201/0403</t>
        </is>
      </c>
      <c r="C592" s="16" t="inlineStr">
        <is>
          <t>ISSUE</t>
        </is>
      </c>
      <c r="D592" s="16" t="n">
        <v>48</v>
      </c>
      <c r="E592" s="16" t="inlineStr">
        <is>
          <t>HIST</t>
        </is>
      </c>
      <c r="F592" s="16" t="n"/>
      <c r="G592" s="16" t="inlineStr">
        <is>
          <t>lab.store@jcb.com</t>
        </is>
      </c>
      <c r="H592" s="16" t="inlineStr">
        <is>
          <t>Historic issue</t>
        </is>
      </c>
    </row>
    <row r="593" ht="15" customHeight="1" s="13">
      <c r="A593" s="20" t="n">
        <v>46147</v>
      </c>
      <c r="B593" s="16" t="inlineStr">
        <is>
          <t>7216/0017</t>
        </is>
      </c>
      <c r="C593" s="16" t="inlineStr">
        <is>
          <t>ISSUE</t>
        </is>
      </c>
      <c r="D593" s="16" t="n">
        <v>20</v>
      </c>
      <c r="E593" s="16" t="inlineStr">
        <is>
          <t>HIST</t>
        </is>
      </c>
      <c r="F593" s="16" t="n"/>
      <c r="G593" s="16" t="inlineStr">
        <is>
          <t>lab.store@jcb.com</t>
        </is>
      </c>
      <c r="H593" s="16" t="inlineStr">
        <is>
          <t>Historic issue</t>
        </is>
      </c>
    </row>
    <row r="594" ht="15" customHeight="1" s="13">
      <c r="A594" s="20" t="n">
        <v>46149</v>
      </c>
      <c r="B594" s="16" t="inlineStr">
        <is>
          <t>7216/0074</t>
        </is>
      </c>
      <c r="C594" s="16" t="inlineStr">
        <is>
          <t>ISSUE</t>
        </is>
      </c>
      <c r="D594" s="16" t="n">
        <v>8</v>
      </c>
      <c r="E594" s="16" t="inlineStr">
        <is>
          <t>HIST</t>
        </is>
      </c>
      <c r="F594" s="16" t="n"/>
      <c r="G594" s="16" t="inlineStr">
        <is>
          <t>lab.store@jcb.com</t>
        </is>
      </c>
      <c r="H594" s="16" t="inlineStr">
        <is>
          <t>Historic issue</t>
        </is>
      </c>
    </row>
    <row r="595" ht="15" customHeight="1" s="13">
      <c r="A595" s="20" t="n">
        <v>46149</v>
      </c>
      <c r="B595" s="16" t="inlineStr">
        <is>
          <t>716/30355</t>
        </is>
      </c>
      <c r="C595" s="16" t="inlineStr">
        <is>
          <t>ISSUE</t>
        </is>
      </c>
      <c r="D595" s="16" t="n">
        <v>3</v>
      </c>
      <c r="E595" s="16" t="inlineStr">
        <is>
          <t>HIST</t>
        </is>
      </c>
      <c r="F595" s="16" t="n"/>
      <c r="G595" s="16" t="inlineStr">
        <is>
          <t>lab.store@jcb.com</t>
        </is>
      </c>
      <c r="H595" s="16" t="inlineStr">
        <is>
          <t>Historic issue</t>
        </is>
      </c>
    </row>
    <row r="596" ht="15" customHeight="1" s="13">
      <c r="A596" s="20" t="n">
        <v>46150</v>
      </c>
      <c r="B596" s="16" t="inlineStr">
        <is>
          <t>7250/0150</t>
        </is>
      </c>
      <c r="C596" s="16" t="inlineStr">
        <is>
          <t>ISSUE</t>
        </is>
      </c>
      <c r="D596" s="16" t="n">
        <v>20</v>
      </c>
      <c r="E596" s="16" t="inlineStr">
        <is>
          <t>HIST</t>
        </is>
      </c>
      <c r="F596" s="16" t="n"/>
      <c r="G596" s="16" t="inlineStr">
        <is>
          <t>lab.store@jcb.com</t>
        </is>
      </c>
      <c r="H596" s="16" t="inlineStr">
        <is>
          <t>Historic issue</t>
        </is>
      </c>
    </row>
    <row r="597" ht="15" customHeight="1" s="13">
      <c r="A597" s="20" t="n">
        <v>46151</v>
      </c>
      <c r="B597" s="16" t="inlineStr">
        <is>
          <t>7201/0784</t>
        </is>
      </c>
      <c r="C597" s="16" t="inlineStr">
        <is>
          <t>ISSUE</t>
        </is>
      </c>
      <c r="D597" s="16" t="n">
        <v>56</v>
      </c>
      <c r="E597" s="16" t="inlineStr">
        <is>
          <t>HIST</t>
        </is>
      </c>
      <c r="F597" s="16" t="n"/>
      <c r="G597" s="16" t="inlineStr">
        <is>
          <t>lab.store@jcb.com</t>
        </is>
      </c>
      <c r="H597" s="16" t="inlineStr">
        <is>
          <t>Historic issue</t>
        </is>
      </c>
    </row>
    <row r="598" ht="15" customHeight="1" s="13">
      <c r="A598" s="20" t="n">
        <v>46152</v>
      </c>
      <c r="B598" s="16" t="inlineStr">
        <is>
          <t>7210/0302</t>
        </is>
      </c>
      <c r="C598" s="16" t="inlineStr">
        <is>
          <t>ISSUE</t>
        </is>
      </c>
      <c r="D598" s="16" t="n">
        <v>5</v>
      </c>
      <c r="E598" s="16" t="inlineStr">
        <is>
          <t>HIST</t>
        </is>
      </c>
      <c r="F598" s="16" t="n"/>
      <c r="G598" s="16" t="inlineStr">
        <is>
          <t>lab.store@jcb.com</t>
        </is>
      </c>
      <c r="H598" s="16" t="inlineStr">
        <is>
          <t>Historic issue</t>
        </is>
      </c>
    </row>
    <row r="599" ht="15" customHeight="1" s="13">
      <c r="A599" s="20" t="n">
        <v>46154</v>
      </c>
      <c r="B599" s="16" t="inlineStr">
        <is>
          <t>MC000RVTXXJCXX003</t>
        </is>
      </c>
      <c r="C599" s="16" t="inlineStr">
        <is>
          <t>ISSUE</t>
        </is>
      </c>
      <c r="D599" s="16" t="n">
        <v>71</v>
      </c>
      <c r="E599" s="16" t="inlineStr">
        <is>
          <t>HIST</t>
        </is>
      </c>
      <c r="F599" s="16" t="n"/>
      <c r="G599" s="16" t="inlineStr">
        <is>
          <t>lab.store@jcb.com</t>
        </is>
      </c>
      <c r="H599" s="16" t="inlineStr">
        <is>
          <t>Historic issue</t>
        </is>
      </c>
    </row>
    <row r="600" ht="15" customHeight="1" s="13">
      <c r="A600" s="20" t="n">
        <v>46154</v>
      </c>
      <c r="B600" s="16" t="inlineStr">
        <is>
          <t>7212/0121</t>
        </is>
      </c>
      <c r="C600" s="16" t="inlineStr">
        <is>
          <t>ISSUE</t>
        </is>
      </c>
      <c r="D600" s="16" t="n">
        <v>8</v>
      </c>
      <c r="E600" s="16" t="inlineStr">
        <is>
          <t>HIST</t>
        </is>
      </c>
      <c r="F600" s="16" t="n"/>
      <c r="G600" s="16" t="inlineStr">
        <is>
          <t>lab.store@jcb.com</t>
        </is>
      </c>
      <c r="H600" s="16" t="inlineStr">
        <is>
          <t>Historic issue</t>
        </is>
      </c>
    </row>
    <row r="601" ht="15" customHeight="1" s="13">
      <c r="A601" s="20" t="n">
        <v>46154</v>
      </c>
      <c r="B601" s="16" t="inlineStr">
        <is>
          <t>7212/0004</t>
        </is>
      </c>
      <c r="C601" s="16" t="inlineStr">
        <is>
          <t>ISSUE</t>
        </is>
      </c>
      <c r="D601" s="16" t="n">
        <v>81</v>
      </c>
      <c r="E601" s="16" t="inlineStr">
        <is>
          <t>HIST</t>
        </is>
      </c>
      <c r="F601" s="16" t="n"/>
      <c r="G601" s="16" t="inlineStr">
        <is>
          <t>lab.store@jcb.com</t>
        </is>
      </c>
      <c r="H601" s="16" t="inlineStr">
        <is>
          <t>Historic issue</t>
        </is>
      </c>
    </row>
    <row r="602" ht="15" customHeight="1" s="13">
      <c r="A602" s="20" t="n">
        <v>46154</v>
      </c>
      <c r="B602" s="16" t="inlineStr">
        <is>
          <t>401/K4978</t>
        </is>
      </c>
      <c r="C602" s="16" t="inlineStr">
        <is>
          <t>ISSUE</t>
        </is>
      </c>
      <c r="D602" s="16" t="n">
        <v>8</v>
      </c>
      <c r="E602" s="16" t="inlineStr">
        <is>
          <t>HIST</t>
        </is>
      </c>
      <c r="F602" s="16" t="n"/>
      <c r="G602" s="16" t="inlineStr">
        <is>
          <t>lab.store@jcb.com</t>
        </is>
      </c>
      <c r="H602" s="16" t="inlineStr">
        <is>
          <t>Historic issue</t>
        </is>
      </c>
    </row>
    <row r="603" ht="15" customHeight="1" s="13">
      <c r="A603" s="20" t="n">
        <v>46155</v>
      </c>
      <c r="B603" s="16" t="inlineStr">
        <is>
          <t>7243/0530</t>
        </is>
      </c>
      <c r="C603" s="16" t="inlineStr">
        <is>
          <t>ISSUE</t>
        </is>
      </c>
      <c r="D603" s="16" t="n">
        <v>26</v>
      </c>
      <c r="E603" s="16" t="inlineStr">
        <is>
          <t>HIST</t>
        </is>
      </c>
      <c r="F603" s="16" t="n"/>
      <c r="G603" s="16" t="inlineStr">
        <is>
          <t>lab.store@jcb.com</t>
        </is>
      </c>
      <c r="H603" s="16" t="inlineStr">
        <is>
          <t>Historic issue</t>
        </is>
      </c>
    </row>
    <row r="604" ht="15" customHeight="1" s="13">
      <c r="A604" s="20" t="n">
        <v>46155</v>
      </c>
      <c r="B604" s="16" t="inlineStr">
        <is>
          <t>7201/0687</t>
        </is>
      </c>
      <c r="C604" s="16" t="inlineStr">
        <is>
          <t>ISSUE</t>
        </is>
      </c>
      <c r="D604" s="16" t="n">
        <v>9</v>
      </c>
      <c r="E604" s="16" t="inlineStr">
        <is>
          <t>HIST</t>
        </is>
      </c>
      <c r="F604" s="16" t="n"/>
      <c r="G604" s="16" t="inlineStr">
        <is>
          <t>lab.store@jcb.com</t>
        </is>
      </c>
      <c r="H604" s="16" t="inlineStr">
        <is>
          <t>Historic issue</t>
        </is>
      </c>
    </row>
    <row r="605" ht="15" customHeight="1" s="13">
      <c r="A605" s="20" t="n">
        <v>46155</v>
      </c>
      <c r="B605" s="16" t="inlineStr">
        <is>
          <t>7210/0095</t>
        </is>
      </c>
      <c r="C605" s="16" t="inlineStr">
        <is>
          <t>ISSUE</t>
        </is>
      </c>
      <c r="D605" s="16" t="n">
        <v>487</v>
      </c>
      <c r="E605" s="16" t="inlineStr">
        <is>
          <t>HIST</t>
        </is>
      </c>
      <c r="F605" s="16" t="n"/>
      <c r="G605" s="16" t="inlineStr">
        <is>
          <t>lab.store@jcb.com</t>
        </is>
      </c>
      <c r="H605" s="16" t="inlineStr">
        <is>
          <t>Historic issue</t>
        </is>
      </c>
    </row>
    <row r="606" ht="15" customHeight="1" s="13">
      <c r="A606" s="20" t="n">
        <v>46156</v>
      </c>
      <c r="B606" s="16" t="inlineStr">
        <is>
          <t>7207/1304</t>
        </is>
      </c>
      <c r="C606" s="16" t="inlineStr">
        <is>
          <t>ISSUE</t>
        </is>
      </c>
      <c r="D606" s="16" t="n">
        <v>26</v>
      </c>
      <c r="E606" s="16" t="inlineStr">
        <is>
          <t>HIST</t>
        </is>
      </c>
      <c r="F606" s="16" t="n"/>
      <c r="G606" s="16" t="inlineStr">
        <is>
          <t>lab.store@jcb.com</t>
        </is>
      </c>
      <c r="H606" s="16" t="inlineStr">
        <is>
          <t>Historic issue</t>
        </is>
      </c>
    </row>
    <row r="607" ht="15" customHeight="1" s="13">
      <c r="A607" s="20" t="n">
        <v>46156</v>
      </c>
      <c r="B607" s="16" t="inlineStr">
        <is>
          <t>7201/0610</t>
        </is>
      </c>
      <c r="C607" s="16" t="inlineStr">
        <is>
          <t>ISSUE</t>
        </is>
      </c>
      <c r="D607" s="16" t="n">
        <v>55</v>
      </c>
      <c r="E607" s="16" t="inlineStr">
        <is>
          <t>HIST</t>
        </is>
      </c>
      <c r="F607" s="16" t="n"/>
      <c r="G607" s="16" t="inlineStr">
        <is>
          <t>lab.store@jcb.com</t>
        </is>
      </c>
      <c r="H607" s="16" t="inlineStr">
        <is>
          <t>Historic issue</t>
        </is>
      </c>
    </row>
    <row r="608" ht="15" customHeight="1" s="13">
      <c r="A608" s="20" t="n">
        <v>46156</v>
      </c>
      <c r="B608" s="16" t="inlineStr">
        <is>
          <t>7201/0093</t>
        </is>
      </c>
      <c r="C608" s="16" t="inlineStr">
        <is>
          <t>ISSUE</t>
        </is>
      </c>
      <c r="D608" s="16" t="n">
        <v>95</v>
      </c>
      <c r="E608" s="16" t="inlineStr">
        <is>
          <t>HIST</t>
        </is>
      </c>
      <c r="F608" s="16" t="n"/>
      <c r="G608" s="16" t="inlineStr">
        <is>
          <t>lab.store@jcb.com</t>
        </is>
      </c>
      <c r="H608" s="16" t="inlineStr">
        <is>
          <t>Historic issue</t>
        </is>
      </c>
    </row>
    <row r="609" ht="15" customHeight="1" s="13">
      <c r="A609" s="20" t="n">
        <v>46156</v>
      </c>
      <c r="B609" s="16" t="inlineStr">
        <is>
          <t>332/D4903</t>
        </is>
      </c>
      <c r="C609" s="16" t="inlineStr">
        <is>
          <t>ISSUE</t>
        </is>
      </c>
      <c r="D609" s="16" t="n">
        <v>82</v>
      </c>
      <c r="E609" s="16" t="inlineStr">
        <is>
          <t>HIST</t>
        </is>
      </c>
      <c r="F609" s="16" t="n"/>
      <c r="G609" s="16" t="inlineStr">
        <is>
          <t>lab.store@jcb.com</t>
        </is>
      </c>
      <c r="H609" s="16" t="inlineStr">
        <is>
          <t>Historic issue</t>
        </is>
      </c>
    </row>
    <row r="610" ht="15" customHeight="1" s="13">
      <c r="A610" s="20" t="n">
        <v>46157</v>
      </c>
      <c r="B610" s="16" t="inlineStr">
        <is>
          <t>7208/2017</t>
        </is>
      </c>
      <c r="C610" s="16" t="inlineStr">
        <is>
          <t>ISSUE</t>
        </is>
      </c>
      <c r="D610" s="16" t="n">
        <v>23</v>
      </c>
      <c r="E610" s="16" t="inlineStr">
        <is>
          <t>HIST</t>
        </is>
      </c>
      <c r="F610" s="16" t="n"/>
      <c r="G610" s="16" t="inlineStr">
        <is>
          <t>lab.store@jcb.com</t>
        </is>
      </c>
      <c r="H610" s="16" t="inlineStr">
        <is>
          <t>Historic issue</t>
        </is>
      </c>
    </row>
    <row r="611" ht="15" customHeight="1" s="13">
      <c r="A611" s="20" t="n">
        <v>46157</v>
      </c>
      <c r="B611" s="16" t="inlineStr">
        <is>
          <t>7219/0441</t>
        </is>
      </c>
      <c r="C611" s="16" t="inlineStr">
        <is>
          <t>ISSUE</t>
        </is>
      </c>
      <c r="D611" s="16" t="n">
        <v>8</v>
      </c>
      <c r="E611" s="16" t="inlineStr">
        <is>
          <t>HIST</t>
        </is>
      </c>
      <c r="F611" s="16" t="n"/>
      <c r="G611" s="16" t="inlineStr">
        <is>
          <t>lab.store@jcb.com</t>
        </is>
      </c>
      <c r="H611" s="16" t="inlineStr">
        <is>
          <t>Historic issue</t>
        </is>
      </c>
    </row>
    <row r="612" ht="15" customHeight="1" s="13">
      <c r="A612" s="20" t="n">
        <v>46158</v>
      </c>
      <c r="B612" s="16" t="inlineStr">
        <is>
          <t>7219/0272</t>
        </is>
      </c>
      <c r="C612" s="16" t="inlineStr">
        <is>
          <t>ISSUE</t>
        </is>
      </c>
      <c r="D612" s="16" t="n">
        <v>15</v>
      </c>
      <c r="E612" s="16" t="inlineStr">
        <is>
          <t>HIST</t>
        </is>
      </c>
      <c r="F612" s="16" t="n"/>
      <c r="G612" s="16" t="inlineStr">
        <is>
          <t>lab.store@jcb.com</t>
        </is>
      </c>
      <c r="H612" s="16" t="inlineStr">
        <is>
          <t>Historic issue</t>
        </is>
      </c>
    </row>
    <row r="613" ht="15" customHeight="1" s="13">
      <c r="A613" s="20" t="n">
        <v>46158</v>
      </c>
      <c r="B613" s="16" t="inlineStr">
        <is>
          <t>7243/0575</t>
        </is>
      </c>
      <c r="C613" s="16" t="inlineStr">
        <is>
          <t>ISSUE</t>
        </is>
      </c>
      <c r="D613" s="16" t="n">
        <v>34</v>
      </c>
      <c r="E613" s="16" t="inlineStr">
        <is>
          <t>HIST</t>
        </is>
      </c>
      <c r="F613" s="16" t="n"/>
      <c r="G613" s="16" t="inlineStr">
        <is>
          <t>lab.store@jcb.com</t>
        </is>
      </c>
      <c r="H613" s="16" t="inlineStr">
        <is>
          <t>Historic issue</t>
        </is>
      </c>
    </row>
    <row r="614" ht="15" customHeight="1" s="13">
      <c r="A614" s="20" t="n">
        <v>46159</v>
      </c>
      <c r="B614" s="16" t="inlineStr">
        <is>
          <t>7243/0383</t>
        </is>
      </c>
      <c r="C614" s="16" t="inlineStr">
        <is>
          <t>ISSUE</t>
        </is>
      </c>
      <c r="D614" s="16" t="n">
        <v>15</v>
      </c>
      <c r="E614" s="16" t="inlineStr">
        <is>
          <t>HIST</t>
        </is>
      </c>
      <c r="F614" s="16" t="n"/>
      <c r="G614" s="16" t="inlineStr">
        <is>
          <t>lab.store@jcb.com</t>
        </is>
      </c>
      <c r="H614" s="16" t="inlineStr">
        <is>
          <t>Historic issue</t>
        </is>
      </c>
    </row>
    <row r="615" ht="15" customHeight="1" s="13">
      <c r="A615" s="20" t="n">
        <v>46159</v>
      </c>
      <c r="B615" s="16" t="inlineStr">
        <is>
          <t>7213/0006</t>
        </is>
      </c>
      <c r="C615" s="16" t="inlineStr">
        <is>
          <t>ISSUE</t>
        </is>
      </c>
      <c r="D615" s="16" t="n">
        <v>5</v>
      </c>
      <c r="E615" s="16" t="inlineStr">
        <is>
          <t>HIST</t>
        </is>
      </c>
      <c r="F615" s="16" t="n"/>
      <c r="G615" s="16" t="inlineStr">
        <is>
          <t>lab.store@jcb.com</t>
        </is>
      </c>
      <c r="H615" s="16" t="inlineStr">
        <is>
          <t>Historic issue</t>
        </is>
      </c>
    </row>
    <row r="616" ht="15" customHeight="1" s="13">
      <c r="A616" s="20" t="n">
        <v>46159</v>
      </c>
      <c r="B616" s="16" t="inlineStr">
        <is>
          <t>727/0000</t>
        </is>
      </c>
      <c r="C616" s="16" t="inlineStr">
        <is>
          <t>ISSUE</t>
        </is>
      </c>
      <c r="D616" s="16" t="n">
        <v>119</v>
      </c>
      <c r="E616" s="16" t="inlineStr">
        <is>
          <t>HIST</t>
        </is>
      </c>
      <c r="F616" s="16" t="n"/>
      <c r="G616" s="16" t="inlineStr">
        <is>
          <t>lab.store@jcb.com</t>
        </is>
      </c>
      <c r="H616" s="16" t="inlineStr">
        <is>
          <t>Historic issue</t>
        </is>
      </c>
    </row>
    <row r="617" ht="15" customHeight="1" s="13">
      <c r="A617" s="20" t="n">
        <v>46161</v>
      </c>
      <c r="B617" s="16" t="inlineStr">
        <is>
          <t>7220/0054</t>
        </is>
      </c>
      <c r="C617" s="16" t="inlineStr">
        <is>
          <t>ISSUE</t>
        </is>
      </c>
      <c r="D617" s="16" t="n">
        <v>4</v>
      </c>
      <c r="E617" s="16" t="inlineStr">
        <is>
          <t>HIST</t>
        </is>
      </c>
      <c r="F617" s="16" t="n"/>
      <c r="G617" s="16" t="inlineStr">
        <is>
          <t>lab.store@jcb.com</t>
        </is>
      </c>
      <c r="H617" s="16" t="inlineStr">
        <is>
          <t>Historic issue</t>
        </is>
      </c>
    </row>
    <row r="618" ht="15" customHeight="1" s="13">
      <c r="A618" s="20" t="n">
        <v>46162</v>
      </c>
      <c r="B618" s="16" t="inlineStr">
        <is>
          <t>7243/0643</t>
        </is>
      </c>
      <c r="C618" s="16" t="inlineStr">
        <is>
          <t>ISSUE</t>
        </is>
      </c>
      <c r="D618" s="16" t="n">
        <v>5</v>
      </c>
      <c r="E618" s="16" t="inlineStr">
        <is>
          <t>HIST</t>
        </is>
      </c>
      <c r="F618" s="16" t="n"/>
      <c r="G618" s="16" t="inlineStr">
        <is>
          <t>lab.store@jcb.com</t>
        </is>
      </c>
      <c r="H618" s="16" t="inlineStr">
        <is>
          <t>Historic issue</t>
        </is>
      </c>
    </row>
    <row r="619" ht="15" customHeight="1" s="13">
      <c r="A619" s="20" t="n">
        <v>46162</v>
      </c>
      <c r="B619" s="16" t="inlineStr">
        <is>
          <t>332/E3213</t>
        </is>
      </c>
      <c r="C619" s="16" t="inlineStr">
        <is>
          <t>ISSUE</t>
        </is>
      </c>
      <c r="D619" s="16" t="n">
        <v>9</v>
      </c>
      <c r="E619" s="16" t="inlineStr">
        <is>
          <t>HIST</t>
        </is>
      </c>
      <c r="F619" s="16" t="n"/>
      <c r="G619" s="16" t="inlineStr">
        <is>
          <t>lab.store@jcb.com</t>
        </is>
      </c>
      <c r="H619" s="16" t="inlineStr">
        <is>
          <t>Historic issue</t>
        </is>
      </c>
    </row>
    <row r="620" ht="15" customHeight="1" s="13">
      <c r="A620" s="20" t="n">
        <v>46164</v>
      </c>
      <c r="B620" s="16" t="inlineStr">
        <is>
          <t>727/0000</t>
        </is>
      </c>
      <c r="C620" s="16" t="inlineStr">
        <is>
          <t>RECEIPT</t>
        </is>
      </c>
      <c r="D620" s="16" t="n">
        <v>200</v>
      </c>
      <c r="E620" s="16" t="inlineStr">
        <is>
          <t>1310012641</t>
        </is>
      </c>
      <c r="F620" s="16" t="n">
        <v>112.35</v>
      </c>
      <c r="G620" s="16" t="inlineStr">
        <is>
          <t>lab.store@jcb.com</t>
        </is>
      </c>
      <c r="H620" s="16" t="n"/>
    </row>
    <row r="621" ht="15" customHeight="1" s="13">
      <c r="A621" s="20" t="n">
        <v>46164</v>
      </c>
      <c r="B621" s="16" t="inlineStr">
        <is>
          <t>7207/1514</t>
        </is>
      </c>
      <c r="C621" s="16" t="inlineStr">
        <is>
          <t>ISSUE</t>
        </is>
      </c>
      <c r="D621" s="16" t="n">
        <v>9</v>
      </c>
      <c r="E621" s="16" t="inlineStr">
        <is>
          <t>HIST</t>
        </is>
      </c>
      <c r="F621" s="16" t="n"/>
      <c r="G621" s="16" t="inlineStr">
        <is>
          <t>lab.store@jcb.com</t>
        </is>
      </c>
      <c r="H621" s="16" t="inlineStr">
        <is>
          <t>Historic issue</t>
        </is>
      </c>
    </row>
    <row r="622" ht="15" customHeight="1" s="13">
      <c r="A622" s="20" t="n">
        <v>46165</v>
      </c>
      <c r="B622" s="16" t="inlineStr">
        <is>
          <t>MC00001A9XXXXX001</t>
        </is>
      </c>
      <c r="C622" s="16" t="inlineStr">
        <is>
          <t>ISSUE</t>
        </is>
      </c>
      <c r="D622" s="16" t="n">
        <v>302</v>
      </c>
      <c r="E622" s="16" t="inlineStr">
        <is>
          <t>HIST</t>
        </is>
      </c>
      <c r="F622" s="16" t="n"/>
      <c r="G622" s="16" t="inlineStr">
        <is>
          <t>lab.store@jcb.com</t>
        </is>
      </c>
      <c r="H622" s="16" t="inlineStr">
        <is>
          <t>Historic issue</t>
        </is>
      </c>
    </row>
    <row r="623" ht="15" customHeight="1" s="13">
      <c r="A623" s="20" t="n">
        <v>46166</v>
      </c>
      <c r="B623" s="16" t="inlineStr">
        <is>
          <t>7219/0196</t>
        </is>
      </c>
      <c r="C623" s="16" t="inlineStr">
        <is>
          <t>ISSUE</t>
        </is>
      </c>
      <c r="D623" s="16" t="n">
        <v>25</v>
      </c>
      <c r="E623" s="16" t="inlineStr">
        <is>
          <t>HIST</t>
        </is>
      </c>
      <c r="F623" s="16" t="n"/>
      <c r="G623" s="16" t="inlineStr">
        <is>
          <t>lab.store@jcb.com</t>
        </is>
      </c>
      <c r="H623" s="16" t="inlineStr">
        <is>
          <t>Historic issue</t>
        </is>
      </c>
    </row>
    <row r="624" ht="15" customHeight="1" s="13">
      <c r="A624" s="20" t="n">
        <v>46168</v>
      </c>
      <c r="B624" s="16" t="inlineStr">
        <is>
          <t>P_CON_GEN_ASLY_002</t>
        </is>
      </c>
      <c r="C624" s="16" t="inlineStr">
        <is>
          <t>RECEIPT</t>
        </is>
      </c>
      <c r="D624" s="16" t="n">
        <v>800</v>
      </c>
      <c r="E624" s="16" t="inlineStr">
        <is>
          <t>9700010226</t>
        </is>
      </c>
      <c r="F624" s="16" t="n">
        <v>10</v>
      </c>
      <c r="G624" s="16" t="inlineStr">
        <is>
          <t>lab.store@jcb.com</t>
        </is>
      </c>
      <c r="H624" s="16" t="n"/>
    </row>
    <row r="625" ht="15" customHeight="1" s="13">
      <c r="A625" s="20" t="n">
        <v>46168</v>
      </c>
      <c r="B625" s="16" t="inlineStr">
        <is>
          <t>7219/0191</t>
        </is>
      </c>
      <c r="C625" s="16" t="inlineStr">
        <is>
          <t>ISSUE</t>
        </is>
      </c>
      <c r="D625" s="16" t="n">
        <v>3</v>
      </c>
      <c r="E625" s="16" t="inlineStr">
        <is>
          <t>HIST</t>
        </is>
      </c>
      <c r="F625" s="16" t="n"/>
      <c r="G625" s="16" t="inlineStr">
        <is>
          <t>lab.store@jcb.com</t>
        </is>
      </c>
      <c r="H625" s="16" t="inlineStr">
        <is>
          <t>Historic issue</t>
        </is>
      </c>
    </row>
    <row r="626" ht="15" customHeight="1" s="13">
      <c r="A626" s="20" t="n">
        <v>46169</v>
      </c>
      <c r="B626" s="16" t="inlineStr">
        <is>
          <t>7205/1000</t>
        </is>
      </c>
      <c r="C626" s="16" t="inlineStr">
        <is>
          <t>ISSUE</t>
        </is>
      </c>
      <c r="D626" s="16" t="n">
        <v>35</v>
      </c>
      <c r="E626" s="16" t="inlineStr">
        <is>
          <t>HIST</t>
        </is>
      </c>
      <c r="F626" s="16" t="n"/>
      <c r="G626" s="16" t="inlineStr">
        <is>
          <t>lab.store@jcb.com</t>
        </is>
      </c>
      <c r="H626" s="16" t="inlineStr">
        <is>
          <t>Historic issue</t>
        </is>
      </c>
    </row>
    <row r="627" ht="15" customHeight="1" s="13">
      <c r="A627" s="20" t="n">
        <v>46169</v>
      </c>
      <c r="B627" s="16" t="inlineStr">
        <is>
          <t>7212/0013</t>
        </is>
      </c>
      <c r="C627" s="16" t="inlineStr">
        <is>
          <t>ISSUE</t>
        </is>
      </c>
      <c r="D627" s="16" t="n">
        <v>56</v>
      </c>
      <c r="E627" s="16" t="inlineStr">
        <is>
          <t>HIST</t>
        </is>
      </c>
      <c r="F627" s="16" t="n"/>
      <c r="G627" s="16" t="inlineStr">
        <is>
          <t>lab.store@jcb.com</t>
        </is>
      </c>
      <c r="H627" s="16" t="inlineStr">
        <is>
          <t>Historic issue</t>
        </is>
      </c>
    </row>
    <row r="628" ht="15" customHeight="1" s="13">
      <c r="A628" s="20" t="n">
        <v>46169</v>
      </c>
      <c r="B628" s="16" t="inlineStr">
        <is>
          <t>7212/0052</t>
        </is>
      </c>
      <c r="C628" s="16" t="inlineStr">
        <is>
          <t>ISSUE</t>
        </is>
      </c>
      <c r="D628" s="16" t="n">
        <v>94</v>
      </c>
      <c r="E628" s="16" t="inlineStr">
        <is>
          <t>HIST</t>
        </is>
      </c>
      <c r="F628" s="16" t="n"/>
      <c r="G628" s="16" t="inlineStr">
        <is>
          <t>lab.store@jcb.com</t>
        </is>
      </c>
      <c r="H628" s="16" t="inlineStr">
        <is>
          <t>Historic issue</t>
        </is>
      </c>
    </row>
    <row r="629" ht="15" customHeight="1" s="13">
      <c r="A629" s="20" t="n">
        <v>46169</v>
      </c>
      <c r="B629" s="16" t="inlineStr">
        <is>
          <t>7201/0791</t>
        </is>
      </c>
      <c r="C629" s="16" t="inlineStr">
        <is>
          <t>ISSUE</t>
        </is>
      </c>
      <c r="D629" s="16" t="n">
        <v>90</v>
      </c>
      <c r="E629" s="16" t="inlineStr">
        <is>
          <t>HIST</t>
        </is>
      </c>
      <c r="F629" s="16" t="n"/>
      <c r="G629" s="16" t="inlineStr">
        <is>
          <t>lab.store@jcb.com</t>
        </is>
      </c>
      <c r="H629" s="16" t="inlineStr">
        <is>
          <t>Historic issue</t>
        </is>
      </c>
    </row>
    <row r="630" ht="15" customHeight="1" s="13">
      <c r="A630" s="20" t="n">
        <v>46174</v>
      </c>
      <c r="B630" s="16" t="inlineStr">
        <is>
          <t>7243/0305</t>
        </is>
      </c>
      <c r="C630" s="16" t="inlineStr">
        <is>
          <t>ISSUE</t>
        </is>
      </c>
      <c r="D630" s="16" t="n">
        <v>29</v>
      </c>
      <c r="E630" s="16" t="inlineStr">
        <is>
          <t>HIST</t>
        </is>
      </c>
      <c r="F630" s="16" t="n"/>
      <c r="G630" s="16" t="inlineStr">
        <is>
          <t>lab.store@jcb.com</t>
        </is>
      </c>
      <c r="H630" s="16" t="inlineStr">
        <is>
          <t>Historic issue</t>
        </is>
      </c>
    </row>
    <row r="631" ht="15" customHeight="1" s="13">
      <c r="A631" s="20" t="n">
        <v>46176</v>
      </c>
      <c r="B631" s="16" t="inlineStr">
        <is>
          <t>7201/0094</t>
        </is>
      </c>
      <c r="C631" s="16" t="inlineStr">
        <is>
          <t>ISSUE</t>
        </is>
      </c>
      <c r="D631" s="16" t="n">
        <v>38</v>
      </c>
      <c r="E631" s="16" t="inlineStr">
        <is>
          <t>HIST</t>
        </is>
      </c>
      <c r="F631" s="16" t="n"/>
      <c r="G631" s="16" t="inlineStr">
        <is>
          <t>lab.store@jcb.com</t>
        </is>
      </c>
      <c r="H631" s="16" t="inlineStr">
        <is>
          <t>Historic issue</t>
        </is>
      </c>
    </row>
    <row r="632" ht="15" customHeight="1" s="13">
      <c r="A632" s="20" t="n">
        <v>46177</v>
      </c>
      <c r="B632" s="16" t="inlineStr">
        <is>
          <t>P_SP_ELEC_COM_770</t>
        </is>
      </c>
      <c r="C632" s="16" t="inlineStr">
        <is>
          <t>RECEIPT</t>
        </is>
      </c>
      <c r="D632" s="16" t="n">
        <v>1000</v>
      </c>
      <c r="E632" s="16" t="inlineStr">
        <is>
          <t>9700010183</t>
        </is>
      </c>
      <c r="F632" s="16" t="n">
        <v>13.5</v>
      </c>
      <c r="G632" s="16" t="inlineStr">
        <is>
          <t>lab.store@jcb.com</t>
        </is>
      </c>
      <c r="H632" s="16" t="n"/>
    </row>
    <row r="633" ht="15" customHeight="1" s="13">
      <c r="A633" s="20" t="n">
        <v>46177</v>
      </c>
      <c r="B633" s="16" t="inlineStr">
        <is>
          <t>P_SP_CABL_POL_141</t>
        </is>
      </c>
      <c r="C633" s="16" t="inlineStr">
        <is>
          <t>RECEIPT</t>
        </is>
      </c>
      <c r="D633" s="16" t="n">
        <v>1000</v>
      </c>
      <c r="E633" s="16" t="inlineStr">
        <is>
          <t>9700010183</t>
        </is>
      </c>
      <c r="F633" s="16" t="n">
        <v>18</v>
      </c>
      <c r="G633" s="16" t="inlineStr">
        <is>
          <t>lab.store@jcb.com</t>
        </is>
      </c>
      <c r="H633" s="16" t="n"/>
    </row>
    <row r="634" ht="15" customHeight="1" s="13">
      <c r="A634" s="20" t="n">
        <v>46177</v>
      </c>
      <c r="B634" s="16" t="inlineStr">
        <is>
          <t>P_SP_CABL_POL_142</t>
        </is>
      </c>
      <c r="C634" s="16" t="inlineStr">
        <is>
          <t>RECEIPT</t>
        </is>
      </c>
      <c r="D634" s="16" t="n">
        <v>500</v>
      </c>
      <c r="E634" s="16" t="inlineStr">
        <is>
          <t>9700010183</t>
        </is>
      </c>
      <c r="F634" s="16" t="n">
        <v>22.5</v>
      </c>
      <c r="G634" s="16" t="inlineStr">
        <is>
          <t>lab.store@jcb.com</t>
        </is>
      </c>
      <c r="H634" s="16" t="n"/>
    </row>
    <row r="635" ht="15" customHeight="1" s="13">
      <c r="A635" s="20" t="n">
        <v>46177</v>
      </c>
      <c r="B635" s="16" t="inlineStr">
        <is>
          <t>P_SP_ELEC_COM_772</t>
        </is>
      </c>
      <c r="C635" s="16" t="inlineStr">
        <is>
          <t>RECEIPT</t>
        </is>
      </c>
      <c r="D635" s="16" t="n">
        <v>300</v>
      </c>
      <c r="E635" s="16" t="inlineStr">
        <is>
          <t>9700010183</t>
        </is>
      </c>
      <c r="F635" s="16" t="n">
        <v>25.2</v>
      </c>
      <c r="G635" s="16" t="inlineStr">
        <is>
          <t>lab.store@jcb.com</t>
        </is>
      </c>
      <c r="H635" s="16" t="n"/>
    </row>
    <row r="636" ht="15" customHeight="1" s="13">
      <c r="A636" s="20" t="n">
        <v>46177</v>
      </c>
      <c r="B636" s="16" t="inlineStr">
        <is>
          <t>P_SP_MATH_MAI_208</t>
        </is>
      </c>
      <c r="C636" s="16" t="inlineStr">
        <is>
          <t>RECEIPT</t>
        </is>
      </c>
      <c r="D636" s="16" t="n">
        <v>10</v>
      </c>
      <c r="E636" s="16" t="inlineStr">
        <is>
          <t>9700010183</t>
        </is>
      </c>
      <c r="F636" s="16" t="n">
        <v>23.75</v>
      </c>
      <c r="G636" s="16" t="inlineStr">
        <is>
          <t>lab.store@jcb.com</t>
        </is>
      </c>
      <c r="H636" s="16" t="n"/>
    </row>
    <row r="637" ht="15" customHeight="1" s="13">
      <c r="A637" s="20" t="n">
        <v>46177</v>
      </c>
      <c r="B637" s="16" t="inlineStr">
        <is>
          <t>P_CON_GEN_GEN_115</t>
        </is>
      </c>
      <c r="C637" s="16" t="inlineStr">
        <is>
          <t>RECEIPT</t>
        </is>
      </c>
      <c r="D637" s="16" t="n">
        <v>50</v>
      </c>
      <c r="E637" s="16" t="inlineStr">
        <is>
          <t>9700010183</t>
        </is>
      </c>
      <c r="F637" s="16" t="n">
        <v>27.55</v>
      </c>
      <c r="G637" s="16" t="inlineStr">
        <is>
          <t>lab.store@jcb.com</t>
        </is>
      </c>
      <c r="H637" s="16" t="n"/>
    </row>
    <row r="638" ht="15" customHeight="1" s="13">
      <c r="A638" s="20" t="n">
        <v>46177</v>
      </c>
      <c r="B638" s="16" t="inlineStr">
        <is>
          <t>7201/0653</t>
        </is>
      </c>
      <c r="C638" s="16" t="inlineStr">
        <is>
          <t>ISSUE</t>
        </is>
      </c>
      <c r="D638" s="16" t="n">
        <v>43</v>
      </c>
      <c r="E638" s="16" t="inlineStr">
        <is>
          <t>HIST</t>
        </is>
      </c>
      <c r="F638" s="16" t="n"/>
      <c r="G638" s="16" t="inlineStr">
        <is>
          <t>lab.store@jcb.com</t>
        </is>
      </c>
      <c r="H638" s="16" t="inlineStr">
        <is>
          <t>Historic issue</t>
        </is>
      </c>
    </row>
    <row r="639" ht="15" customHeight="1" s="13">
      <c r="A639" s="20" t="n">
        <v>46177</v>
      </c>
      <c r="B639" s="16" t="inlineStr">
        <is>
          <t>7212/0204</t>
        </is>
      </c>
      <c r="C639" s="16" t="inlineStr">
        <is>
          <t>ISSUE</t>
        </is>
      </c>
      <c r="D639" s="16" t="n">
        <v>2</v>
      </c>
      <c r="E639" s="16" t="inlineStr">
        <is>
          <t>HIST</t>
        </is>
      </c>
      <c r="F639" s="16" t="n"/>
      <c r="G639" s="16" t="inlineStr">
        <is>
          <t>lab.store@jcb.com</t>
        </is>
      </c>
      <c r="H639" s="16" t="inlineStr">
        <is>
          <t>Historic issue</t>
        </is>
      </c>
    </row>
    <row r="640" ht="15" customHeight="1" s="13">
      <c r="A640" s="20" t="n">
        <v>46178</v>
      </c>
      <c r="B640" s="16" t="inlineStr">
        <is>
          <t>7212/0081</t>
        </is>
      </c>
      <c r="C640" s="16" t="inlineStr">
        <is>
          <t>ISSUE</t>
        </is>
      </c>
      <c r="D640" s="16" t="n">
        <v>64</v>
      </c>
      <c r="E640" s="16" t="inlineStr">
        <is>
          <t>HIST</t>
        </is>
      </c>
      <c r="F640" s="16" t="n"/>
      <c r="G640" s="16" t="inlineStr">
        <is>
          <t>lab.store@jcb.com</t>
        </is>
      </c>
      <c r="H640" s="16" t="inlineStr">
        <is>
          <t>Historic issue</t>
        </is>
      </c>
    </row>
    <row r="641" ht="15" customHeight="1" s="13">
      <c r="A641" s="20" t="n">
        <v>46178</v>
      </c>
      <c r="B641" s="16" t="inlineStr">
        <is>
          <t>7201/1132</t>
        </is>
      </c>
      <c r="C641" s="16" t="inlineStr">
        <is>
          <t>ISSUE</t>
        </is>
      </c>
      <c r="D641" s="16" t="n">
        <v>202</v>
      </c>
      <c r="E641" s="16" t="inlineStr">
        <is>
          <t>HIST</t>
        </is>
      </c>
      <c r="F641" s="16" t="n"/>
      <c r="G641" s="16" t="inlineStr">
        <is>
          <t>lab.store@jcb.com</t>
        </is>
      </c>
      <c r="H641" s="16" t="inlineStr">
        <is>
          <t>Historic issue</t>
        </is>
      </c>
    </row>
    <row r="642" ht="15" customHeight="1" s="13">
      <c r="A642" s="20" t="n">
        <v>46180</v>
      </c>
      <c r="B642" s="16" t="inlineStr">
        <is>
          <t>7210/0002</t>
        </is>
      </c>
      <c r="C642" s="16" t="inlineStr">
        <is>
          <t>ISSUE</t>
        </is>
      </c>
      <c r="D642" s="16" t="n">
        <v>32</v>
      </c>
      <c r="E642" s="16" t="inlineStr">
        <is>
          <t>HIST</t>
        </is>
      </c>
      <c r="F642" s="16" t="n"/>
      <c r="G642" s="16" t="inlineStr">
        <is>
          <t>lab.store@jcb.com</t>
        </is>
      </c>
      <c r="H642" s="16" t="inlineStr">
        <is>
          <t>Historic issue</t>
        </is>
      </c>
    </row>
    <row r="643" ht="15" customHeight="1" s="13">
      <c r="A643" s="20" t="n">
        <v>46181</v>
      </c>
      <c r="B643" s="16" t="inlineStr">
        <is>
          <t>403/T6925</t>
        </is>
      </c>
      <c r="C643" s="16" t="inlineStr">
        <is>
          <t>ISSUE</t>
        </is>
      </c>
      <c r="D643" s="16" t="n">
        <v>5</v>
      </c>
      <c r="E643" s="16" t="inlineStr">
        <is>
          <t>HIST</t>
        </is>
      </c>
      <c r="F643" s="16" t="n"/>
      <c r="G643" s="16" t="inlineStr">
        <is>
          <t>lab.store@jcb.com</t>
        </is>
      </c>
      <c r="H643" s="16" t="inlineStr">
        <is>
          <t>Historic issue</t>
        </is>
      </c>
    </row>
    <row r="644" ht="15" customHeight="1" s="13">
      <c r="A644" s="20" t="n">
        <v>46181</v>
      </c>
      <c r="B644" s="16" t="inlineStr">
        <is>
          <t>7210/0082</t>
        </is>
      </c>
      <c r="C644" s="16" t="inlineStr">
        <is>
          <t>ISSUE</t>
        </is>
      </c>
      <c r="D644" s="16" t="n">
        <v>9</v>
      </c>
      <c r="E644" s="16" t="inlineStr">
        <is>
          <t>HIST</t>
        </is>
      </c>
      <c r="F644" s="16" t="n"/>
      <c r="G644" s="16" t="inlineStr">
        <is>
          <t>lab.store@jcb.com</t>
        </is>
      </c>
      <c r="H644" s="16" t="inlineStr">
        <is>
          <t>Historic issue</t>
        </is>
      </c>
    </row>
    <row r="645" ht="15" customHeight="1" s="13">
      <c r="A645" s="20" t="n">
        <v>46182</v>
      </c>
      <c r="B645" s="16" t="inlineStr">
        <is>
          <t>P_SP_ELEC_COM_770</t>
        </is>
      </c>
      <c r="C645" s="16" t="inlineStr">
        <is>
          <t>ISSUE</t>
        </is>
      </c>
      <c r="D645" s="16" t="n">
        <v>794</v>
      </c>
      <c r="E645" s="16" t="inlineStr">
        <is>
          <t>HIST</t>
        </is>
      </c>
      <c r="F645" s="16" t="n"/>
      <c r="G645" s="16" t="inlineStr">
        <is>
          <t>lab.store@jcb.com</t>
        </is>
      </c>
      <c r="H645" s="16" t="inlineStr">
        <is>
          <t>Historic issue</t>
        </is>
      </c>
    </row>
    <row r="646" ht="15" customHeight="1" s="13">
      <c r="A646" s="20" t="n">
        <v>46182</v>
      </c>
      <c r="B646" s="16" t="inlineStr">
        <is>
          <t>7201/0881</t>
        </is>
      </c>
      <c r="C646" s="16" t="inlineStr">
        <is>
          <t>ISSUE</t>
        </is>
      </c>
      <c r="D646" s="16" t="n">
        <v>61</v>
      </c>
      <c r="E646" s="16" t="inlineStr">
        <is>
          <t>HIST</t>
        </is>
      </c>
      <c r="F646" s="16" t="n"/>
      <c r="G646" s="16" t="inlineStr">
        <is>
          <t>lab.store@jcb.com</t>
        </is>
      </c>
      <c r="H646" s="16" t="inlineStr">
        <is>
          <t>Historic issue</t>
        </is>
      </c>
    </row>
    <row r="647" ht="15" customHeight="1" s="13">
      <c r="A647" s="20" t="n">
        <v>46183</v>
      </c>
      <c r="B647" s="16" t="inlineStr">
        <is>
          <t>7243/0351</t>
        </is>
      </c>
      <c r="C647" s="16" t="inlineStr">
        <is>
          <t>ISSUE</t>
        </is>
      </c>
      <c r="D647" s="16" t="n">
        <v>6</v>
      </c>
      <c r="E647" s="16" t="inlineStr">
        <is>
          <t>HIST</t>
        </is>
      </c>
      <c r="F647" s="16" t="n"/>
      <c r="G647" s="16" t="inlineStr">
        <is>
          <t>lab.store@jcb.com</t>
        </is>
      </c>
      <c r="H647" s="16" t="inlineStr">
        <is>
          <t>Historic issue</t>
        </is>
      </c>
    </row>
    <row r="648" ht="15" customHeight="1" s="13">
      <c r="A648" s="20" t="n">
        <v>46184</v>
      </c>
      <c r="B648" s="16" t="inlineStr">
        <is>
          <t>7201/0832</t>
        </is>
      </c>
      <c r="C648" s="16" t="inlineStr">
        <is>
          <t>RECEIPT</t>
        </is>
      </c>
      <c r="D648" s="16" t="n">
        <v>100</v>
      </c>
      <c r="E648" s="16" t="inlineStr">
        <is>
          <t>1310012739</t>
        </is>
      </c>
      <c r="F648" s="16" t="n">
        <v>23.25</v>
      </c>
      <c r="G648" s="16" t="inlineStr">
        <is>
          <t>lab.store@jcb.com</t>
        </is>
      </c>
      <c r="H648" s="16" t="n"/>
    </row>
    <row r="649" ht="15" customHeight="1" s="13">
      <c r="A649" s="20" t="n">
        <v>46184</v>
      </c>
      <c r="B649" s="16" t="inlineStr">
        <is>
          <t>7243/0453</t>
        </is>
      </c>
      <c r="C649" s="16" t="inlineStr">
        <is>
          <t>RECEIPT</t>
        </is>
      </c>
      <c r="D649" s="16" t="n">
        <v>10</v>
      </c>
      <c r="E649" s="16" t="inlineStr">
        <is>
          <t>1310012739</t>
        </is>
      </c>
      <c r="F649" s="16" t="n">
        <v>116</v>
      </c>
      <c r="G649" s="16" t="inlineStr">
        <is>
          <t>lab.store@jcb.com</t>
        </is>
      </c>
      <c r="H649" s="16" t="n"/>
    </row>
    <row r="650" ht="15" customHeight="1" s="13">
      <c r="A650" s="20" t="n">
        <v>46184</v>
      </c>
      <c r="B650" s="16" t="inlineStr">
        <is>
          <t>332/D4893</t>
        </is>
      </c>
      <c r="C650" s="16" t="inlineStr">
        <is>
          <t>RECEIPT</t>
        </is>
      </c>
      <c r="D650" s="16" t="n">
        <v>100</v>
      </c>
      <c r="E650" s="16" t="inlineStr">
        <is>
          <t>1310012739</t>
        </is>
      </c>
      <c r="F650" s="16" t="n">
        <v>9.970000000000001</v>
      </c>
      <c r="G650" s="16" t="inlineStr">
        <is>
          <t>lab.store@jcb.com</t>
        </is>
      </c>
      <c r="H650" s="16" t="n"/>
    </row>
    <row r="651" ht="15" customHeight="1" s="13">
      <c r="A651" s="20" t="n">
        <v>46184</v>
      </c>
      <c r="B651" s="16" t="inlineStr">
        <is>
          <t>7216/0043</t>
        </is>
      </c>
      <c r="C651" s="16" t="inlineStr">
        <is>
          <t>RECEIPT</t>
        </is>
      </c>
      <c r="D651" s="16" t="n">
        <v>10</v>
      </c>
      <c r="E651" s="16" t="inlineStr">
        <is>
          <t>1310012739</t>
        </is>
      </c>
      <c r="F651" s="16" t="n">
        <v>191.15</v>
      </c>
      <c r="G651" s="16" t="inlineStr">
        <is>
          <t>lab.store@jcb.com</t>
        </is>
      </c>
      <c r="H651" s="16" t="n"/>
    </row>
    <row r="652" ht="15" customHeight="1" s="13">
      <c r="A652" s="20" t="n">
        <v>46184</v>
      </c>
      <c r="B652" s="16" t="inlineStr">
        <is>
          <t>7201/0831</t>
        </is>
      </c>
      <c r="C652" s="16" t="inlineStr">
        <is>
          <t>RECEIPT</t>
        </is>
      </c>
      <c r="D652" s="16" t="n">
        <v>100</v>
      </c>
      <c r="E652" s="16" t="inlineStr">
        <is>
          <t>1310012739</t>
        </is>
      </c>
      <c r="F652" s="16" t="n">
        <v>21.8</v>
      </c>
      <c r="G652" s="16" t="inlineStr">
        <is>
          <t>lab.store@jcb.com</t>
        </is>
      </c>
      <c r="H652" s="16" t="n"/>
    </row>
    <row r="653" ht="15" customHeight="1" s="13">
      <c r="A653" s="20" t="n">
        <v>46184</v>
      </c>
      <c r="B653" s="16" t="inlineStr">
        <is>
          <t>7201/0833</t>
        </is>
      </c>
      <c r="C653" s="16" t="inlineStr">
        <is>
          <t>RECEIPT</t>
        </is>
      </c>
      <c r="D653" s="16" t="n">
        <v>25</v>
      </c>
      <c r="E653" s="16" t="inlineStr">
        <is>
          <t>1310012739</t>
        </is>
      </c>
      <c r="F653" s="16" t="n">
        <v>36.14</v>
      </c>
      <c r="G653" s="16" t="inlineStr">
        <is>
          <t>lab.store@jcb.com</t>
        </is>
      </c>
      <c r="H653" s="16" t="n"/>
    </row>
    <row r="654" ht="15" customHeight="1" s="13">
      <c r="A654" s="20" t="n">
        <v>46184</v>
      </c>
      <c r="B654" s="16" t="inlineStr">
        <is>
          <t>332/D4903</t>
        </is>
      </c>
      <c r="C654" s="16" t="inlineStr">
        <is>
          <t>RECEIPT</t>
        </is>
      </c>
      <c r="D654" s="16" t="n">
        <v>100</v>
      </c>
      <c r="E654" s="16" t="inlineStr">
        <is>
          <t>1310012739</t>
        </is>
      </c>
      <c r="F654" s="16" t="n">
        <v>29.76</v>
      </c>
      <c r="G654" s="16" t="inlineStr">
        <is>
          <t>lab.store@jcb.com</t>
        </is>
      </c>
      <c r="H654" s="16" t="n"/>
    </row>
    <row r="655" ht="15" customHeight="1" s="13">
      <c r="A655" s="20" t="n">
        <v>46184</v>
      </c>
      <c r="B655" s="16" t="inlineStr">
        <is>
          <t>7210/0240</t>
        </is>
      </c>
      <c r="C655" s="16" t="inlineStr">
        <is>
          <t>RECEIPT</t>
        </is>
      </c>
      <c r="D655" s="16" t="n">
        <v>500</v>
      </c>
      <c r="E655" s="16" t="inlineStr">
        <is>
          <t>1310012739</t>
        </is>
      </c>
      <c r="F655" s="16" t="n">
        <v>8.94</v>
      </c>
      <c r="G655" s="16" t="inlineStr">
        <is>
          <t>lab.store@jcb.com</t>
        </is>
      </c>
      <c r="H655" s="16" t="n"/>
    </row>
    <row r="656" ht="15" customHeight="1" s="13">
      <c r="A656" s="20" t="n">
        <v>46184</v>
      </c>
      <c r="B656" s="16" t="inlineStr">
        <is>
          <t>7210/0205</t>
        </is>
      </c>
      <c r="C656" s="16" t="inlineStr">
        <is>
          <t>RECEIPT</t>
        </is>
      </c>
      <c r="D656" s="16" t="n">
        <v>10</v>
      </c>
      <c r="E656" s="16" t="inlineStr">
        <is>
          <t>1310012739</t>
        </is>
      </c>
      <c r="F656" s="16" t="n">
        <v>28.83</v>
      </c>
      <c r="G656" s="16" t="inlineStr">
        <is>
          <t>lab.store@jcb.com</t>
        </is>
      </c>
      <c r="H656" s="16" t="n"/>
    </row>
    <row r="657" ht="15" customHeight="1" s="13">
      <c r="A657" s="20" t="n">
        <v>46184</v>
      </c>
      <c r="B657" s="16" t="inlineStr">
        <is>
          <t>7210/0239</t>
        </is>
      </c>
      <c r="C657" s="16" t="inlineStr">
        <is>
          <t>RECEIPT</t>
        </is>
      </c>
      <c r="D657" s="16" t="n">
        <v>100</v>
      </c>
      <c r="E657" s="16" t="inlineStr">
        <is>
          <t>1310012739</t>
        </is>
      </c>
      <c r="F657" s="16" t="n">
        <v>7.5</v>
      </c>
      <c r="G657" s="16" t="inlineStr">
        <is>
          <t>lab.store@jcb.com</t>
        </is>
      </c>
      <c r="H657" s="16" t="n"/>
    </row>
    <row r="658" ht="15" customHeight="1" s="13">
      <c r="A658" s="20" t="n">
        <v>46184</v>
      </c>
      <c r="B658" s="16" t="inlineStr">
        <is>
          <t>7201/1006</t>
        </is>
      </c>
      <c r="C658" s="16" t="inlineStr">
        <is>
          <t>RECEIPT</t>
        </is>
      </c>
      <c r="D658" s="16" t="n">
        <v>100</v>
      </c>
      <c r="E658" s="16" t="inlineStr">
        <is>
          <t>1310012739</t>
        </is>
      </c>
      <c r="F658" s="16" t="n">
        <v>18.73</v>
      </c>
      <c r="G658" s="16" t="inlineStr">
        <is>
          <t>lab.store@jcb.com</t>
        </is>
      </c>
      <c r="H658" s="16" t="n"/>
    </row>
    <row r="659" ht="15" customHeight="1" s="13">
      <c r="A659" s="20" t="n">
        <v>46184</v>
      </c>
      <c r="B659" s="16" t="inlineStr">
        <is>
          <t>7201/0765</t>
        </is>
      </c>
      <c r="C659" s="16" t="inlineStr">
        <is>
          <t>RECEIPT</t>
        </is>
      </c>
      <c r="D659" s="16" t="n">
        <v>100</v>
      </c>
      <c r="E659" s="16" t="inlineStr">
        <is>
          <t>1310012739</t>
        </is>
      </c>
      <c r="F659" s="16" t="n">
        <v>11.96</v>
      </c>
      <c r="G659" s="16" t="inlineStr">
        <is>
          <t>lab.store@jcb.com</t>
        </is>
      </c>
      <c r="H659" s="16" t="n"/>
    </row>
    <row r="660" ht="15" customHeight="1" s="13">
      <c r="A660" s="20" t="n">
        <v>46184</v>
      </c>
      <c r="B660" s="16" t="inlineStr">
        <is>
          <t>400/T4274</t>
        </is>
      </c>
      <c r="C660" s="16" t="inlineStr">
        <is>
          <t>ISSUE</t>
        </is>
      </c>
      <c r="D660" s="16" t="n">
        <v>2</v>
      </c>
      <c r="E660" s="16" t="inlineStr">
        <is>
          <t>HIST</t>
        </is>
      </c>
      <c r="F660" s="16" t="n"/>
      <c r="G660" s="16" t="inlineStr">
        <is>
          <t>lab.store@jcb.com</t>
        </is>
      </c>
      <c r="H660" s="16" t="inlineStr">
        <is>
          <t>Historic issue</t>
        </is>
      </c>
    </row>
    <row r="661" ht="15" customHeight="1" s="13">
      <c r="A661" s="20" t="n">
        <v>46185</v>
      </c>
      <c r="B661" s="16" t="inlineStr">
        <is>
          <t>7219/0109</t>
        </is>
      </c>
      <c r="C661" s="16" t="inlineStr">
        <is>
          <t>ISSUE</t>
        </is>
      </c>
      <c r="D661" s="16" t="n">
        <v>7</v>
      </c>
      <c r="E661" s="16" t="inlineStr">
        <is>
          <t>HIST</t>
        </is>
      </c>
      <c r="F661" s="16" t="n"/>
      <c r="G661" s="16" t="inlineStr">
        <is>
          <t>lab.store@jcb.com</t>
        </is>
      </c>
      <c r="H661" s="16" t="inlineStr">
        <is>
          <t>Historic issue</t>
        </is>
      </c>
    </row>
    <row r="662" ht="15" customHeight="1" s="13">
      <c r="A662" s="20" t="n">
        <v>46186</v>
      </c>
      <c r="B662" s="16" t="inlineStr">
        <is>
          <t>7212/0203</t>
        </is>
      </c>
      <c r="C662" s="16" t="inlineStr">
        <is>
          <t>ISSUE</t>
        </is>
      </c>
      <c r="D662" s="16" t="n">
        <v>2</v>
      </c>
      <c r="E662" s="16" t="inlineStr">
        <is>
          <t>HIST</t>
        </is>
      </c>
      <c r="F662" s="16" t="n"/>
      <c r="G662" s="16" t="inlineStr">
        <is>
          <t>lab.store@jcb.com</t>
        </is>
      </c>
      <c r="H662" s="16" t="inlineStr">
        <is>
          <t>Historic issue</t>
        </is>
      </c>
    </row>
    <row r="663" ht="15" customHeight="1" s="13">
      <c r="A663" s="20" t="n">
        <v>46186</v>
      </c>
      <c r="B663" s="16" t="inlineStr">
        <is>
          <t>7239/0085</t>
        </is>
      </c>
      <c r="C663" s="16" t="inlineStr">
        <is>
          <t>ISSUE</t>
        </is>
      </c>
      <c r="D663" s="16" t="n">
        <v>16</v>
      </c>
      <c r="E663" s="16" t="inlineStr">
        <is>
          <t>HIST</t>
        </is>
      </c>
      <c r="F663" s="16" t="n"/>
      <c r="G663" s="16" t="inlineStr">
        <is>
          <t>lab.store@jcb.com</t>
        </is>
      </c>
      <c r="H663" s="16" t="inlineStr">
        <is>
          <t>Historic issue</t>
        </is>
      </c>
    </row>
    <row r="664" ht="15" customHeight="1" s="13">
      <c r="A664" s="20" t="n">
        <v>46187</v>
      </c>
      <c r="B664" s="16" t="inlineStr">
        <is>
          <t>MC000RVT1CXX2SQ001</t>
        </is>
      </c>
      <c r="C664" s="16" t="inlineStr">
        <is>
          <t>ISSUE</t>
        </is>
      </c>
      <c r="D664" s="16" t="n">
        <v>4</v>
      </c>
      <c r="E664" s="16" t="inlineStr">
        <is>
          <t>HIST</t>
        </is>
      </c>
      <c r="F664" s="16" t="n"/>
      <c r="G664" s="16" t="inlineStr">
        <is>
          <t>lab.store@jcb.com</t>
        </is>
      </c>
      <c r="H664" s="16" t="inlineStr">
        <is>
          <t>Historic issue</t>
        </is>
      </c>
    </row>
    <row r="665" ht="15" customHeight="1" s="13">
      <c r="A665" s="20" t="n">
        <v>46187</v>
      </c>
      <c r="B665" s="16" t="inlineStr">
        <is>
          <t>7211/0025</t>
        </is>
      </c>
      <c r="C665" s="16" t="inlineStr">
        <is>
          <t>ISSUE</t>
        </is>
      </c>
      <c r="D665" s="16" t="n">
        <v>4</v>
      </c>
      <c r="E665" s="16" t="inlineStr">
        <is>
          <t>HIST</t>
        </is>
      </c>
      <c r="F665" s="16" t="n"/>
      <c r="G665" s="16" t="inlineStr">
        <is>
          <t>lab.store@jcb.com</t>
        </is>
      </c>
      <c r="H665" s="16" t="inlineStr">
        <is>
          <t>Historic issue</t>
        </is>
      </c>
    </row>
    <row r="666" ht="15" customHeight="1" s="13">
      <c r="A666" s="20" t="n">
        <v>46188</v>
      </c>
      <c r="B666" s="16" t="inlineStr">
        <is>
          <t>7204/0001</t>
        </is>
      </c>
      <c r="C666" s="16" t="inlineStr">
        <is>
          <t>ISSUE</t>
        </is>
      </c>
      <c r="D666" s="16" t="n">
        <v>410</v>
      </c>
      <c r="E666" s="16" t="inlineStr">
        <is>
          <t>HIST</t>
        </is>
      </c>
      <c r="F666" s="16" t="n"/>
      <c r="G666" s="16" t="inlineStr">
        <is>
          <t>lab.store@jcb.com</t>
        </is>
      </c>
      <c r="H666" s="16" t="inlineStr">
        <is>
          <t>Historic issue</t>
        </is>
      </c>
    </row>
    <row r="667" ht="15" customHeight="1" s="13">
      <c r="A667" s="20" t="n">
        <v>46188</v>
      </c>
      <c r="B667" s="16" t="inlineStr">
        <is>
          <t>7218/0003</t>
        </is>
      </c>
      <c r="C667" s="16" t="inlineStr">
        <is>
          <t>ISSUE</t>
        </is>
      </c>
      <c r="D667" s="16" t="n">
        <v>13</v>
      </c>
      <c r="E667" s="16" t="inlineStr">
        <is>
          <t>HIST</t>
        </is>
      </c>
      <c r="F667" s="16" t="n"/>
      <c r="G667" s="16" t="inlineStr">
        <is>
          <t>lab.store@jcb.com</t>
        </is>
      </c>
      <c r="H667" s="16" t="inlineStr">
        <is>
          <t>Historic issue</t>
        </is>
      </c>
    </row>
    <row r="668" ht="15" customHeight="1" s="13">
      <c r="A668" s="20" t="n">
        <v>46188</v>
      </c>
      <c r="B668" s="16" t="inlineStr">
        <is>
          <t>7201/0831</t>
        </is>
      </c>
      <c r="C668" s="16" t="inlineStr">
        <is>
          <t>ISSUE</t>
        </is>
      </c>
      <c r="D668" s="16" t="n">
        <v>50</v>
      </c>
      <c r="E668" s="16" t="inlineStr">
        <is>
          <t>HIST</t>
        </is>
      </c>
      <c r="F668" s="16" t="n"/>
      <c r="G668" s="16" t="inlineStr">
        <is>
          <t>lab.store@jcb.com</t>
        </is>
      </c>
      <c r="H668" s="16" t="inlineStr">
        <is>
          <t>Historic issue</t>
        </is>
      </c>
    </row>
    <row r="669" ht="15" customHeight="1" s="13">
      <c r="A669" s="20" t="n">
        <v>46190</v>
      </c>
      <c r="B669" s="16" t="inlineStr">
        <is>
          <t>402/R5384</t>
        </is>
      </c>
      <c r="C669" s="16" t="inlineStr">
        <is>
          <t>ISSUE</t>
        </is>
      </c>
      <c r="D669" s="16" t="n">
        <v>1</v>
      </c>
      <c r="E669" s="16" t="inlineStr">
        <is>
          <t>HIST</t>
        </is>
      </c>
      <c r="F669" s="16" t="n"/>
      <c r="G669" s="16" t="inlineStr">
        <is>
          <t>lab.store@jcb.com</t>
        </is>
      </c>
      <c r="H669" s="16" t="inlineStr">
        <is>
          <t>Historic issue</t>
        </is>
      </c>
    </row>
    <row r="670" ht="15" customHeight="1" s="13">
      <c r="A670" s="20" t="n">
        <v>46191</v>
      </c>
      <c r="B670" s="16" t="inlineStr">
        <is>
          <t>MC000RVTXXJCXX001</t>
        </is>
      </c>
      <c r="C670" s="16" t="inlineStr">
        <is>
          <t>ISSUE</t>
        </is>
      </c>
      <c r="D670" s="16" t="n">
        <v>42</v>
      </c>
      <c r="E670" s="16" t="inlineStr">
        <is>
          <t>HIST</t>
        </is>
      </c>
      <c r="F670" s="16" t="n"/>
      <c r="G670" s="16" t="inlineStr">
        <is>
          <t>lab.store@jcb.com</t>
        </is>
      </c>
      <c r="H670" s="16" t="inlineStr">
        <is>
          <t>Historic issue</t>
        </is>
      </c>
    </row>
    <row r="671" ht="15" customHeight="1" s="13">
      <c r="A671" s="20" t="n">
        <v>46191</v>
      </c>
      <c r="B671" s="16" t="inlineStr">
        <is>
          <t>7210/0096</t>
        </is>
      </c>
      <c r="C671" s="16" t="inlineStr">
        <is>
          <t>ISSUE</t>
        </is>
      </c>
      <c r="D671" s="16" t="n">
        <v>17</v>
      </c>
      <c r="E671" s="16" t="inlineStr">
        <is>
          <t>HIST</t>
        </is>
      </c>
      <c r="F671" s="16" t="n"/>
      <c r="G671" s="16" t="inlineStr">
        <is>
          <t>lab.store@jcb.com</t>
        </is>
      </c>
      <c r="H671" s="16" t="inlineStr">
        <is>
          <t>Historic issue</t>
        </is>
      </c>
    </row>
    <row r="672" ht="15" customHeight="1" s="13">
      <c r="A672" s="20" t="n">
        <v>46193</v>
      </c>
      <c r="B672" s="16" t="inlineStr">
        <is>
          <t>7213/0043</t>
        </is>
      </c>
      <c r="C672" s="16" t="inlineStr">
        <is>
          <t>ISSUE</t>
        </is>
      </c>
      <c r="D672" s="16" t="n">
        <v>8</v>
      </c>
      <c r="E672" s="16" t="inlineStr">
        <is>
          <t>HIST</t>
        </is>
      </c>
      <c r="F672" s="16" t="n"/>
      <c r="G672" s="16" t="inlineStr">
        <is>
          <t>lab.store@jcb.com</t>
        </is>
      </c>
      <c r="H672" s="16" t="inlineStr">
        <is>
          <t>Historic issue</t>
        </is>
      </c>
    </row>
    <row r="673" ht="15" customHeight="1" s="13">
      <c r="A673" s="20" t="n">
        <v>46194</v>
      </c>
      <c r="B673" s="16" t="inlineStr">
        <is>
          <t>7204/0002</t>
        </is>
      </c>
      <c r="C673" s="16" t="inlineStr">
        <is>
          <t>ISSUE</t>
        </is>
      </c>
      <c r="D673" s="16" t="n">
        <v>28</v>
      </c>
      <c r="E673" s="16" t="inlineStr">
        <is>
          <t>HIST</t>
        </is>
      </c>
      <c r="F673" s="16" t="n"/>
      <c r="G673" s="16" t="inlineStr">
        <is>
          <t>lab.store@jcb.com</t>
        </is>
      </c>
      <c r="H673" s="16" t="inlineStr">
        <is>
          <t>Historic issue</t>
        </is>
      </c>
    </row>
    <row r="674" ht="15" customHeight="1" s="13">
      <c r="A674" s="20" t="n">
        <v>46194</v>
      </c>
      <c r="B674" s="16" t="inlineStr">
        <is>
          <t>7212/0156</t>
        </is>
      </c>
      <c r="C674" s="16" t="inlineStr">
        <is>
          <t>ISSUE</t>
        </is>
      </c>
      <c r="D674" s="16" t="n">
        <v>7</v>
      </c>
      <c r="E674" s="16" t="inlineStr">
        <is>
          <t>HIST</t>
        </is>
      </c>
      <c r="F674" s="16" t="n"/>
      <c r="G674" s="16" t="inlineStr">
        <is>
          <t>lab.store@jcb.com</t>
        </is>
      </c>
      <c r="H674" s="16" t="inlineStr">
        <is>
          <t>Historic issue</t>
        </is>
      </c>
    </row>
    <row r="675" ht="15" customHeight="1" s="13">
      <c r="A675" s="20" t="n">
        <v>46194</v>
      </c>
      <c r="B675" s="16" t="inlineStr">
        <is>
          <t>7216/0060</t>
        </is>
      </c>
      <c r="C675" s="16" t="inlineStr">
        <is>
          <t>ISSUE</t>
        </is>
      </c>
      <c r="D675" s="16" t="n">
        <v>8</v>
      </c>
      <c r="E675" s="16" t="inlineStr">
        <is>
          <t>HIST</t>
        </is>
      </c>
      <c r="F675" s="16" t="n"/>
      <c r="G675" s="16" t="inlineStr">
        <is>
          <t>lab.store@jcb.com</t>
        </is>
      </c>
      <c r="H675" s="16" t="inlineStr">
        <is>
          <t>Historic issue</t>
        </is>
      </c>
    </row>
    <row r="676" ht="15" customHeight="1" s="13">
      <c r="A676" s="20" t="n">
        <v>46195</v>
      </c>
      <c r="B676" s="16" t="inlineStr">
        <is>
          <t>7219/0284</t>
        </is>
      </c>
      <c r="C676" s="16" t="inlineStr">
        <is>
          <t>RECEIPT</t>
        </is>
      </c>
      <c r="D676" s="16" t="n">
        <v>10</v>
      </c>
      <c r="E676" s="16" t="inlineStr">
        <is>
          <t>1310012739</t>
        </is>
      </c>
      <c r="F676" s="16" t="n"/>
      <c r="G676" s="16" t="inlineStr">
        <is>
          <t>lab.store@jcb.com</t>
        </is>
      </c>
      <c r="H676" s="16" t="n"/>
    </row>
    <row r="677" ht="15" customHeight="1" s="13">
      <c r="A677" s="20" t="n">
        <v>46195</v>
      </c>
      <c r="B677" s="16" t="inlineStr">
        <is>
          <t>7201/0016</t>
        </is>
      </c>
      <c r="C677" s="16" t="inlineStr">
        <is>
          <t>ISSUE</t>
        </is>
      </c>
      <c r="D677" s="16" t="n">
        <v>27</v>
      </c>
      <c r="E677" s="16" t="inlineStr">
        <is>
          <t>HIST</t>
        </is>
      </c>
      <c r="F677" s="16" t="n"/>
      <c r="G677" s="16" t="inlineStr">
        <is>
          <t>lab.store@jcb.com</t>
        </is>
      </c>
      <c r="H677" s="16" t="inlineStr">
        <is>
          <t>Historic issue</t>
        </is>
      </c>
    </row>
    <row r="678" ht="15" customHeight="1" s="13">
      <c r="A678" s="20" t="n">
        <v>46196</v>
      </c>
      <c r="B678" s="16" t="inlineStr">
        <is>
          <t>P_CON_FER_KIRON_02</t>
        </is>
      </c>
      <c r="C678" s="16" t="inlineStr">
        <is>
          <t>ISSUE</t>
        </is>
      </c>
      <c r="D678" s="16" t="n">
        <v>37</v>
      </c>
      <c r="E678" s="16" t="inlineStr">
        <is>
          <t>HIST</t>
        </is>
      </c>
      <c r="F678" s="16" t="n"/>
      <c r="G678" s="16" t="inlineStr">
        <is>
          <t>lab.store@jcb.com</t>
        </is>
      </c>
      <c r="H678" s="16" t="inlineStr">
        <is>
          <t>Historic issue</t>
        </is>
      </c>
    </row>
    <row r="679" ht="15" customHeight="1" s="13">
      <c r="A679" s="20" t="n">
        <v>46197</v>
      </c>
      <c r="B679" s="16" t="inlineStr">
        <is>
          <t>332/T4414</t>
        </is>
      </c>
      <c r="C679" s="16" t="inlineStr">
        <is>
          <t>RECEIPT</t>
        </is>
      </c>
      <c r="D679" s="16" t="n">
        <v>135</v>
      </c>
      <c r="E679" s="16" t="inlineStr">
        <is>
          <t>FOC_TE_21</t>
        </is>
      </c>
      <c r="F679" s="16" t="n"/>
      <c r="G679" s="16" t="inlineStr">
        <is>
          <t>lab.store@jcb.com</t>
        </is>
      </c>
      <c r="H679" s="16" t="n"/>
    </row>
    <row r="680" ht="15" customHeight="1" s="13">
      <c r="A680" s="20" t="n">
        <v>46197</v>
      </c>
      <c r="B680" s="16" t="inlineStr">
        <is>
          <t>7243/0282</t>
        </is>
      </c>
      <c r="C680" s="16" t="inlineStr">
        <is>
          <t>ISSUE</t>
        </is>
      </c>
      <c r="D680" s="16" t="n">
        <v>3</v>
      </c>
      <c r="E680" s="16" t="inlineStr">
        <is>
          <t>HIST</t>
        </is>
      </c>
      <c r="F680" s="16" t="n"/>
      <c r="G680" s="16" t="inlineStr">
        <is>
          <t>lab.store@jcb.com</t>
        </is>
      </c>
      <c r="H680" s="16" t="inlineStr">
        <is>
          <t>Historic issue</t>
        </is>
      </c>
    </row>
    <row r="681" ht="15" customHeight="1" s="13">
      <c r="A681" s="20" t="n">
        <v>46198</v>
      </c>
      <c r="B681" s="16" t="inlineStr">
        <is>
          <t>7201/0669</t>
        </is>
      </c>
      <c r="C681" s="16" t="inlineStr">
        <is>
          <t>ISSUE</t>
        </is>
      </c>
      <c r="D681" s="16" t="n">
        <v>9</v>
      </c>
      <c r="E681" s="16" t="inlineStr">
        <is>
          <t>HIST</t>
        </is>
      </c>
      <c r="F681" s="16" t="n"/>
      <c r="G681" s="16" t="inlineStr">
        <is>
          <t>lab.store@jcb.com</t>
        </is>
      </c>
      <c r="H681" s="16" t="inlineStr">
        <is>
          <t>Historic issue</t>
        </is>
      </c>
    </row>
    <row r="682" ht="15" customHeight="1" s="13">
      <c r="A682" s="20" t="n">
        <v>46198</v>
      </c>
      <c r="B682" s="16" t="inlineStr">
        <is>
          <t>7216/0052</t>
        </is>
      </c>
      <c r="C682" s="16" t="inlineStr">
        <is>
          <t>ISSUE</t>
        </is>
      </c>
      <c r="D682" s="16" t="n">
        <v>38</v>
      </c>
      <c r="E682" s="16" t="inlineStr">
        <is>
          <t>HIST</t>
        </is>
      </c>
      <c r="F682" s="16" t="n"/>
      <c r="G682" s="16" t="inlineStr">
        <is>
          <t>lab.store@jcb.com</t>
        </is>
      </c>
      <c r="H682" s="16" t="inlineStr">
        <is>
          <t>Historic issue</t>
        </is>
      </c>
    </row>
    <row r="683" ht="15" customHeight="1" s="13">
      <c r="A683" s="20" t="n">
        <v>46199</v>
      </c>
      <c r="B683" s="16" t="inlineStr">
        <is>
          <t>7214/0034</t>
        </is>
      </c>
      <c r="C683" s="16" t="inlineStr">
        <is>
          <t>ISSUE</t>
        </is>
      </c>
      <c r="D683" s="16" t="n">
        <v>16</v>
      </c>
      <c r="E683" s="16" t="inlineStr">
        <is>
          <t>HIST</t>
        </is>
      </c>
      <c r="F683" s="16" t="n"/>
      <c r="G683" s="16" t="inlineStr">
        <is>
          <t>lab.store@jcb.com</t>
        </is>
      </c>
      <c r="H683" s="16" t="inlineStr">
        <is>
          <t>Historic issue</t>
        </is>
      </c>
    </row>
    <row r="684" ht="15" customHeight="1" s="13">
      <c r="A684" s="20" t="n">
        <v>46200</v>
      </c>
      <c r="B684" s="16" t="inlineStr">
        <is>
          <t>7204/0036</t>
        </is>
      </c>
      <c r="C684" s="16" t="inlineStr">
        <is>
          <t>ISSUE</t>
        </is>
      </c>
      <c r="D684" s="16" t="n">
        <v>211</v>
      </c>
      <c r="E684" s="16" t="inlineStr">
        <is>
          <t>HIST</t>
        </is>
      </c>
      <c r="F684" s="16" t="n"/>
      <c r="G684" s="16" t="inlineStr">
        <is>
          <t>lab.store@jcb.com</t>
        </is>
      </c>
      <c r="H684" s="16" t="inlineStr">
        <is>
          <t>Historic issue</t>
        </is>
      </c>
    </row>
    <row r="685" ht="15" customHeight="1" s="13">
      <c r="A685" s="20" t="n">
        <v>46200</v>
      </c>
      <c r="B685" s="16" t="inlineStr">
        <is>
          <t>332/D4893</t>
        </is>
      </c>
      <c r="C685" s="16" t="inlineStr">
        <is>
          <t>ISSUE</t>
        </is>
      </c>
      <c r="D685" s="16" t="n">
        <v>85</v>
      </c>
      <c r="E685" s="16" t="inlineStr">
        <is>
          <t>HIST</t>
        </is>
      </c>
      <c r="F685" s="16" t="n"/>
      <c r="G685" s="16" t="inlineStr">
        <is>
          <t>lab.store@jcb.com</t>
        </is>
      </c>
      <c r="H685" s="16" t="inlineStr">
        <is>
          <t>Historic issue</t>
        </is>
      </c>
    </row>
    <row r="686" ht="15" customHeight="1" s="13">
      <c r="A686" s="20" t="n">
        <v>46201</v>
      </c>
      <c r="B686" s="16" t="inlineStr">
        <is>
          <t>7219/0018</t>
        </is>
      </c>
      <c r="C686" s="16" t="inlineStr">
        <is>
          <t>ISSUE</t>
        </is>
      </c>
      <c r="D686" s="16" t="n">
        <v>25</v>
      </c>
      <c r="E686" s="16" t="inlineStr">
        <is>
          <t>HIST</t>
        </is>
      </c>
      <c r="F686" s="16" t="n"/>
      <c r="G686" s="16" t="inlineStr">
        <is>
          <t>lab.store@jcb.com</t>
        </is>
      </c>
      <c r="H686" s="16" t="inlineStr">
        <is>
          <t>Historic issue</t>
        </is>
      </c>
    </row>
    <row r="687" ht="15" customHeight="1" s="13">
      <c r="A687" s="20" t="n">
        <v>46204</v>
      </c>
      <c r="B687" s="16" t="inlineStr">
        <is>
          <t>7201/1032</t>
        </is>
      </c>
      <c r="C687" s="16" t="inlineStr">
        <is>
          <t>ISSUE</t>
        </is>
      </c>
      <c r="D687" s="16" t="n">
        <v>67</v>
      </c>
      <c r="E687" s="16" t="inlineStr">
        <is>
          <t>HIST</t>
        </is>
      </c>
      <c r="F687" s="16" t="n"/>
      <c r="G687" s="16" t="inlineStr">
        <is>
          <t>lab.store@jcb.com</t>
        </is>
      </c>
      <c r="H687" s="16" t="inlineStr">
        <is>
          <t>Historic issue</t>
        </is>
      </c>
    </row>
    <row r="688" ht="15" customHeight="1" s="13">
      <c r="A688" s="20" t="n">
        <v>46204</v>
      </c>
      <c r="B688" s="16" t="inlineStr">
        <is>
          <t>332/N1497</t>
        </is>
      </c>
      <c r="C688" s="16" t="inlineStr">
        <is>
          <t>ISSUE</t>
        </is>
      </c>
      <c r="D688" s="16" t="n">
        <v>262</v>
      </c>
      <c r="E688" s="16" t="inlineStr">
        <is>
          <t>HIST</t>
        </is>
      </c>
      <c r="F688" s="16" t="n"/>
      <c r="G688" s="16" t="inlineStr">
        <is>
          <t>lab.store@jcb.com</t>
        </is>
      </c>
      <c r="H688" s="16" t="inlineStr">
        <is>
          <t>Historic issue</t>
        </is>
      </c>
    </row>
    <row r="689" ht="15" customHeight="1" s="13">
      <c r="A689" s="20" t="n">
        <v>46204</v>
      </c>
      <c r="B689" s="16" t="inlineStr">
        <is>
          <t>7214/0029</t>
        </is>
      </c>
      <c r="C689" s="16" t="inlineStr">
        <is>
          <t>ISSUE</t>
        </is>
      </c>
      <c r="D689" s="16" t="n">
        <v>6</v>
      </c>
      <c r="E689" s="16" t="inlineStr">
        <is>
          <t>HIST</t>
        </is>
      </c>
      <c r="F689" s="16" t="n"/>
      <c r="G689" s="16" t="inlineStr">
        <is>
          <t>lab.store@jcb.com</t>
        </is>
      </c>
      <c r="H689" s="16" t="inlineStr">
        <is>
          <t>Historic issue</t>
        </is>
      </c>
    </row>
    <row r="690" ht="15" customHeight="1" s="13">
      <c r="A690" s="20" t="n">
        <v>46205</v>
      </c>
      <c r="B690" s="16" t="inlineStr">
        <is>
          <t>401/U6865</t>
        </is>
      </c>
      <c r="C690" s="16" t="inlineStr">
        <is>
          <t>ISSUE</t>
        </is>
      </c>
      <c r="D690" s="16" t="n">
        <v>36</v>
      </c>
      <c r="E690" s="16" t="inlineStr">
        <is>
          <t>HIST</t>
        </is>
      </c>
      <c r="F690" s="16" t="n"/>
      <c r="G690" s="16" t="inlineStr">
        <is>
          <t>lab.store@jcb.com</t>
        </is>
      </c>
      <c r="H690" s="16" t="inlineStr">
        <is>
          <t>Historic issue</t>
        </is>
      </c>
    </row>
    <row r="691" ht="15" customHeight="1" s="13">
      <c r="A691" s="20" t="n">
        <v>46205</v>
      </c>
      <c r="B691" s="16" t="inlineStr">
        <is>
          <t>7201/0152</t>
        </is>
      </c>
      <c r="C691" s="16" t="inlineStr">
        <is>
          <t>ISSUE</t>
        </is>
      </c>
      <c r="D691" s="16" t="n">
        <v>72</v>
      </c>
      <c r="E691" s="16" t="inlineStr">
        <is>
          <t>HIST</t>
        </is>
      </c>
      <c r="F691" s="16" t="n"/>
      <c r="G691" s="16" t="inlineStr">
        <is>
          <t>lab.store@jcb.com</t>
        </is>
      </c>
      <c r="H691" s="16" t="inlineStr">
        <is>
          <t>Historic issue</t>
        </is>
      </c>
    </row>
    <row r="692" ht="15" customHeight="1" s="13">
      <c r="A692" s="20" t="n">
        <v>46205</v>
      </c>
      <c r="B692" s="16" t="inlineStr">
        <is>
          <t>7204/0025</t>
        </is>
      </c>
      <c r="C692" s="16" t="inlineStr">
        <is>
          <t>ISSUE</t>
        </is>
      </c>
      <c r="D692" s="16" t="n">
        <v>52</v>
      </c>
      <c r="E692" s="16" t="inlineStr">
        <is>
          <t>HIST</t>
        </is>
      </c>
      <c r="F692" s="16" t="n"/>
      <c r="G692" s="16" t="inlineStr">
        <is>
          <t>lab.store@jcb.com</t>
        </is>
      </c>
      <c r="H692" s="16" t="inlineStr">
        <is>
          <t>Historic issue</t>
        </is>
      </c>
    </row>
    <row r="693" ht="15" customHeight="1" s="13">
      <c r="A693" s="20" t="n">
        <v>46206</v>
      </c>
      <c r="B693" s="16" t="inlineStr">
        <is>
          <t>7201/0470</t>
        </is>
      </c>
      <c r="C693" s="16" t="inlineStr">
        <is>
          <t>ISSUE</t>
        </is>
      </c>
      <c r="D693" s="16" t="n">
        <v>80</v>
      </c>
      <c r="E693" s="16" t="inlineStr">
        <is>
          <t>HIST</t>
        </is>
      </c>
      <c r="F693" s="16" t="n"/>
      <c r="G693" s="16" t="inlineStr">
        <is>
          <t>lab.store@jcb.com</t>
        </is>
      </c>
      <c r="H693" s="16" t="inlineStr">
        <is>
          <t>Historic issue</t>
        </is>
      </c>
    </row>
    <row r="694" ht="15" customHeight="1" s="13">
      <c r="A694" s="20" t="n">
        <v>46206</v>
      </c>
      <c r="B694" s="16" t="inlineStr">
        <is>
          <t>7201/0708</t>
        </is>
      </c>
      <c r="C694" s="16" t="inlineStr">
        <is>
          <t>ISSUE</t>
        </is>
      </c>
      <c r="D694" s="16" t="n">
        <v>2</v>
      </c>
      <c r="E694" s="16" t="inlineStr">
        <is>
          <t>HIST</t>
        </is>
      </c>
      <c r="F694" s="16" t="n"/>
      <c r="G694" s="16" t="inlineStr">
        <is>
          <t>lab.store@jcb.com</t>
        </is>
      </c>
      <c r="H694" s="16" t="inlineStr">
        <is>
          <t>Historic issue</t>
        </is>
      </c>
    </row>
    <row r="695" ht="15" customHeight="1" s="13">
      <c r="A695" s="20" t="n">
        <v>46206</v>
      </c>
      <c r="B695" s="16" t="inlineStr">
        <is>
          <t>MC000SCVVBBJJ001</t>
        </is>
      </c>
      <c r="C695" s="16" t="inlineStr">
        <is>
          <t>ISSUE</t>
        </is>
      </c>
      <c r="D695" s="16" t="n">
        <v>14</v>
      </c>
      <c r="E695" s="16" t="inlineStr">
        <is>
          <t>HIST</t>
        </is>
      </c>
      <c r="F695" s="16" t="n"/>
      <c r="G695" s="16" t="inlineStr">
        <is>
          <t>lab.store@jcb.com</t>
        </is>
      </c>
      <c r="H695" s="16" t="inlineStr">
        <is>
          <t>Historic issue</t>
        </is>
      </c>
    </row>
    <row r="696" ht="15" customHeight="1" s="13">
      <c r="A696" s="20" t="n">
        <v>46207</v>
      </c>
      <c r="B696" s="16" t="inlineStr">
        <is>
          <t>7243/0462</t>
        </is>
      </c>
      <c r="C696" s="16" t="inlineStr">
        <is>
          <t>ISSUE</t>
        </is>
      </c>
      <c r="D696" s="16" t="n">
        <v>3</v>
      </c>
      <c r="E696" s="16" t="inlineStr">
        <is>
          <t>HIST</t>
        </is>
      </c>
      <c r="F696" s="16" t="n"/>
      <c r="G696" s="16" t="inlineStr">
        <is>
          <t>lab.store@jcb.com</t>
        </is>
      </c>
      <c r="H696" s="16" t="inlineStr">
        <is>
          <t>Historic issue</t>
        </is>
      </c>
    </row>
    <row r="697" ht="15" customHeight="1" s="13">
      <c r="A697" s="20" t="n">
        <v>46208</v>
      </c>
      <c r="B697" s="16" t="inlineStr">
        <is>
          <t>7207/1406</t>
        </is>
      </c>
      <c r="C697" s="16" t="inlineStr">
        <is>
          <t>ISSUE</t>
        </is>
      </c>
      <c r="D697" s="16" t="n">
        <v>24</v>
      </c>
      <c r="E697" s="16" t="inlineStr">
        <is>
          <t>HIST</t>
        </is>
      </c>
      <c r="F697" s="16" t="n"/>
      <c r="G697" s="16" t="inlineStr">
        <is>
          <t>lab.store@jcb.com</t>
        </is>
      </c>
      <c r="H697" s="16" t="inlineStr">
        <is>
          <t>Historic issue</t>
        </is>
      </c>
    </row>
    <row r="698" ht="15" customHeight="1" s="13">
      <c r="A698" s="20" t="n">
        <v>46208</v>
      </c>
      <c r="B698" s="16" t="inlineStr">
        <is>
          <t>7213/0066</t>
        </is>
      </c>
      <c r="C698" s="16" t="inlineStr">
        <is>
          <t>ISSUE</t>
        </is>
      </c>
      <c r="D698" s="16" t="n">
        <v>3</v>
      </c>
      <c r="E698" s="16" t="inlineStr">
        <is>
          <t>HIST</t>
        </is>
      </c>
      <c r="F698" s="16" t="n"/>
      <c r="G698" s="16" t="inlineStr">
        <is>
          <t>lab.store@jcb.com</t>
        </is>
      </c>
      <c r="H698" s="16" t="inlineStr">
        <is>
          <t>Historic issue</t>
        </is>
      </c>
    </row>
    <row r="699" ht="15" customHeight="1" s="13">
      <c r="A699" s="20" t="n">
        <v>46208</v>
      </c>
      <c r="B699" s="16" t="inlineStr">
        <is>
          <t>7201/0832</t>
        </is>
      </c>
      <c r="C699" s="16" t="inlineStr">
        <is>
          <t>ISSUE</t>
        </is>
      </c>
      <c r="D699" s="16" t="n">
        <v>62</v>
      </c>
      <c r="E699" s="16" t="inlineStr">
        <is>
          <t>HIST</t>
        </is>
      </c>
      <c r="F699" s="16" t="n"/>
      <c r="G699" s="16" t="inlineStr">
        <is>
          <t>lab.store@jcb.com</t>
        </is>
      </c>
      <c r="H699" s="16" t="inlineStr">
        <is>
          <t>Historic issue</t>
        </is>
      </c>
    </row>
    <row r="700" ht="15" customHeight="1" s="13">
      <c r="A700" s="20" t="n">
        <v>46210</v>
      </c>
      <c r="B700" s="16" t="inlineStr">
        <is>
          <t>7212/0113</t>
        </is>
      </c>
      <c r="C700" s="16" t="inlineStr">
        <is>
          <t>ISSUE</t>
        </is>
      </c>
      <c r="D700" s="16" t="n">
        <v>19</v>
      </c>
      <c r="E700" s="16" t="inlineStr">
        <is>
          <t>HIST</t>
        </is>
      </c>
      <c r="F700" s="16" t="n"/>
      <c r="G700" s="16" t="inlineStr">
        <is>
          <t>lab.store@jcb.com</t>
        </is>
      </c>
      <c r="H700" s="16" t="inlineStr">
        <is>
          <t>Historic issue</t>
        </is>
      </c>
    </row>
    <row r="701" ht="15" customHeight="1" s="13">
      <c r="A701" s="20" t="n">
        <v>46211</v>
      </c>
      <c r="B701" s="16" t="inlineStr">
        <is>
          <t>7219/0441</t>
        </is>
      </c>
      <c r="C701" s="16" t="inlineStr">
        <is>
          <t>RECEIPT</t>
        </is>
      </c>
      <c r="D701" s="16" t="n">
        <v>10</v>
      </c>
      <c r="E701" s="16" t="inlineStr">
        <is>
          <t>FOC_TE_22</t>
        </is>
      </c>
      <c r="F701" s="16" t="n"/>
      <c r="G701" s="16" t="inlineStr">
        <is>
          <t>lab.store@jcb.com</t>
        </is>
      </c>
      <c r="H701" s="16" t="n"/>
    </row>
    <row r="702" ht="15" customHeight="1" s="13">
      <c r="A702" s="20" t="n">
        <v>46211</v>
      </c>
      <c r="B702" s="16" t="inlineStr">
        <is>
          <t>7212/0044</t>
        </is>
      </c>
      <c r="C702" s="16" t="inlineStr">
        <is>
          <t>ISSUE</t>
        </is>
      </c>
      <c r="D702" s="16" t="n">
        <v>7</v>
      </c>
      <c r="E702" s="16" t="inlineStr">
        <is>
          <t>HIST</t>
        </is>
      </c>
      <c r="F702" s="16" t="n"/>
      <c r="G702" s="16" t="inlineStr">
        <is>
          <t>lab.store@jcb.com</t>
        </is>
      </c>
      <c r="H702" s="16" t="inlineStr">
        <is>
          <t>Historic issue</t>
        </is>
      </c>
    </row>
    <row r="703" ht="15" customHeight="1" s="13">
      <c r="A703" s="20" t="n">
        <v>46212</v>
      </c>
      <c r="B703" s="16" t="inlineStr">
        <is>
          <t>7219/0019</t>
        </is>
      </c>
      <c r="C703" s="16" t="inlineStr">
        <is>
          <t>ISSUE</t>
        </is>
      </c>
      <c r="D703" s="16" t="n">
        <v>27</v>
      </c>
      <c r="E703" s="16" t="inlineStr">
        <is>
          <t>HIST</t>
        </is>
      </c>
      <c r="F703" s="16" t="n"/>
      <c r="G703" s="16" t="inlineStr">
        <is>
          <t>lab.store@jcb.com</t>
        </is>
      </c>
      <c r="H703" s="16" t="inlineStr">
        <is>
          <t>Historic issue</t>
        </is>
      </c>
    </row>
    <row r="704" ht="15" customHeight="1" s="13">
      <c r="A704" s="20" t="n">
        <v>46212</v>
      </c>
      <c r="B704" s="16" t="inlineStr">
        <is>
          <t>7214/0004</t>
        </is>
      </c>
      <c r="C704" s="16" t="inlineStr">
        <is>
          <t>ISSUE</t>
        </is>
      </c>
      <c r="D704" s="16" t="n">
        <v>10</v>
      </c>
      <c r="E704" s="16" t="inlineStr">
        <is>
          <t>HIST</t>
        </is>
      </c>
      <c r="F704" s="16" t="n"/>
      <c r="G704" s="16" t="inlineStr">
        <is>
          <t>lab.store@jcb.com</t>
        </is>
      </c>
      <c r="H704" s="16" t="inlineStr">
        <is>
          <t>Historic issue</t>
        </is>
      </c>
    </row>
    <row r="705" ht="15" customHeight="1" s="13">
      <c r="A705" s="20" t="n">
        <v>46212</v>
      </c>
      <c r="B705" s="16" t="inlineStr">
        <is>
          <t>MC000SCMVAQJJ001</t>
        </is>
      </c>
      <c r="C705" s="16" t="inlineStr">
        <is>
          <t>ISSUE</t>
        </is>
      </c>
      <c r="D705" s="16" t="n">
        <v>161</v>
      </c>
      <c r="E705" s="16" t="inlineStr">
        <is>
          <t>HIST</t>
        </is>
      </c>
      <c r="F705" s="16" t="n"/>
      <c r="G705" s="16" t="inlineStr">
        <is>
          <t>lab.store@jcb.com</t>
        </is>
      </c>
      <c r="H705" s="16" t="inlineStr">
        <is>
          <t>Historic issue</t>
        </is>
      </c>
    </row>
    <row r="706" ht="15" customHeight="1" s="13">
      <c r="A706" s="20" t="n">
        <v>46213</v>
      </c>
      <c r="B706" s="16" t="inlineStr">
        <is>
          <t>7201/0104</t>
        </is>
      </c>
      <c r="C706" s="16" t="inlineStr">
        <is>
          <t>ISSUE</t>
        </is>
      </c>
      <c r="D706" s="16" t="n">
        <v>24</v>
      </c>
      <c r="E706" s="16" t="inlineStr">
        <is>
          <t>HIST</t>
        </is>
      </c>
      <c r="F706" s="16" t="n"/>
      <c r="G706" s="16" t="inlineStr">
        <is>
          <t>lab.store@jcb.com</t>
        </is>
      </c>
      <c r="H706" s="16" t="inlineStr">
        <is>
          <t>Historic issue</t>
        </is>
      </c>
    </row>
    <row r="707" ht="15" customHeight="1" s="13">
      <c r="A707" s="20" t="n">
        <v>46214</v>
      </c>
      <c r="B707" s="16" t="inlineStr">
        <is>
          <t>MC00001A7XXXXX001</t>
        </is>
      </c>
      <c r="C707" s="16" t="inlineStr">
        <is>
          <t>ISSUE</t>
        </is>
      </c>
      <c r="D707" s="16" t="n">
        <v>268</v>
      </c>
      <c r="E707" s="16" t="inlineStr">
        <is>
          <t>HIST</t>
        </is>
      </c>
      <c r="F707" s="16" t="n"/>
      <c r="G707" s="16" t="inlineStr">
        <is>
          <t>lab.store@jcb.com</t>
        </is>
      </c>
      <c r="H707" s="16" t="inlineStr">
        <is>
          <t>Historic issue</t>
        </is>
      </c>
    </row>
    <row r="708" ht="15" customHeight="1" s="13">
      <c r="A708" s="20" t="n">
        <v>46215</v>
      </c>
      <c r="B708" s="16" t="inlineStr">
        <is>
          <t>7207/2054</t>
        </is>
      </c>
      <c r="C708" s="16" t="inlineStr">
        <is>
          <t>ISSUE</t>
        </is>
      </c>
      <c r="D708" s="16" t="n">
        <v>35</v>
      </c>
      <c r="E708" s="16" t="inlineStr">
        <is>
          <t>HIST</t>
        </is>
      </c>
      <c r="F708" s="16" t="n"/>
      <c r="G708" s="16" t="inlineStr">
        <is>
          <t>lab.store@jcb.com</t>
        </is>
      </c>
      <c r="H708" s="16" t="inlineStr">
        <is>
          <t>Historic issue</t>
        </is>
      </c>
    </row>
    <row r="709" ht="15" customHeight="1" s="13">
      <c r="A709" s="20" t="n">
        <v>46216</v>
      </c>
      <c r="B709" s="16" t="inlineStr">
        <is>
          <t>7201/0747</t>
        </is>
      </c>
      <c r="C709" s="16" t="inlineStr">
        <is>
          <t>RECEIPT</t>
        </is>
      </c>
      <c r="D709" s="16" t="n">
        <v>170</v>
      </c>
      <c r="E709" s="16" t="inlineStr">
        <is>
          <t>FOC_TE_23</t>
        </is>
      </c>
      <c r="F709" s="16" t="n"/>
      <c r="G709" s="16" t="inlineStr">
        <is>
          <t>lab.store@jcb.com</t>
        </is>
      </c>
      <c r="H709" s="16" t="n"/>
    </row>
    <row r="710" ht="15" customHeight="1" s="13">
      <c r="A710" s="20" t="n">
        <v>46216</v>
      </c>
      <c r="B710" s="16" t="inlineStr">
        <is>
          <t>7219/0402</t>
        </is>
      </c>
      <c r="C710" s="16" t="inlineStr">
        <is>
          <t>RECEIPT</t>
        </is>
      </c>
      <c r="D710" s="16" t="n">
        <v>12</v>
      </c>
      <c r="E710" s="16" t="inlineStr">
        <is>
          <t>FOC_TE_23</t>
        </is>
      </c>
      <c r="F710" s="16" t="n"/>
      <c r="G710" s="16" t="inlineStr">
        <is>
          <t>lab.store@jcb.com</t>
        </is>
      </c>
      <c r="H710" s="16" t="n"/>
    </row>
    <row r="711" ht="15" customHeight="1" s="13">
      <c r="A711" s="20" t="n">
        <v>46216</v>
      </c>
      <c r="B711" s="16" t="inlineStr">
        <is>
          <t>7210/0302</t>
        </is>
      </c>
      <c r="C711" s="16" t="inlineStr">
        <is>
          <t>RECEIPT</t>
        </is>
      </c>
      <c r="D711" s="16" t="n">
        <v>10</v>
      </c>
      <c r="E711" s="16" t="inlineStr">
        <is>
          <t>FOC_TE_23</t>
        </is>
      </c>
      <c r="F711" s="16" t="n"/>
      <c r="G711" s="16" t="inlineStr">
        <is>
          <t>lab.store@jcb.com</t>
        </is>
      </c>
      <c r="H711" s="16" t="n"/>
    </row>
    <row r="712" ht="15" customHeight="1" s="13">
      <c r="A712" s="20" t="n">
        <v>46216</v>
      </c>
      <c r="B712" s="16" t="inlineStr">
        <is>
          <t>7201/0746</t>
        </is>
      </c>
      <c r="C712" s="16" t="inlineStr">
        <is>
          <t>RECEIPT</t>
        </is>
      </c>
      <c r="D712" s="16" t="n">
        <v>100</v>
      </c>
      <c r="E712" s="16" t="inlineStr">
        <is>
          <t>FOC_TE_23</t>
        </is>
      </c>
      <c r="F712" s="16" t="n"/>
      <c r="G712" s="16" t="inlineStr">
        <is>
          <t>lab.store@jcb.com</t>
        </is>
      </c>
      <c r="H712" s="16" t="n"/>
    </row>
    <row r="713" ht="15" customHeight="1" s="13">
      <c r="A713" s="20" t="n">
        <v>46216</v>
      </c>
      <c r="B713" s="16" t="inlineStr">
        <is>
          <t>7219/0169</t>
        </is>
      </c>
      <c r="C713" s="16" t="inlineStr">
        <is>
          <t>ISSUE</t>
        </is>
      </c>
      <c r="D713" s="16" t="n">
        <v>29</v>
      </c>
      <c r="E713" s="16" t="inlineStr">
        <is>
          <t>HIST</t>
        </is>
      </c>
      <c r="F713" s="16" t="n"/>
      <c r="G713" s="16" t="inlineStr">
        <is>
          <t>lab.store@jcb.com</t>
        </is>
      </c>
      <c r="H713" s="16" t="inlineStr">
        <is>
          <t>Historic issue</t>
        </is>
      </c>
    </row>
    <row r="714" ht="15" customHeight="1" s="13">
      <c r="A714" s="20" t="n">
        <v>46216</v>
      </c>
      <c r="B714" s="16" t="inlineStr">
        <is>
          <t>701/E0033</t>
        </is>
      </c>
      <c r="C714" s="16" t="inlineStr">
        <is>
          <t>ISSUE</t>
        </is>
      </c>
      <c r="D714" s="16" t="n">
        <v>4</v>
      </c>
      <c r="E714" s="16" t="inlineStr">
        <is>
          <t>HIST</t>
        </is>
      </c>
      <c r="F714" s="16" t="n"/>
      <c r="G714" s="16" t="inlineStr">
        <is>
          <t>lab.store@jcb.com</t>
        </is>
      </c>
      <c r="H714" s="16" t="inlineStr">
        <is>
          <t>Historic issue</t>
        </is>
      </c>
    </row>
    <row r="715" ht="15" customHeight="1" s="13">
      <c r="A715" s="20" t="n">
        <v>46217</v>
      </c>
      <c r="B715" s="16" t="inlineStr">
        <is>
          <t>7213/0005</t>
        </is>
      </c>
      <c r="C715" s="16" t="inlineStr">
        <is>
          <t>ISSUE</t>
        </is>
      </c>
      <c r="D715" s="16" t="n">
        <v>11</v>
      </c>
      <c r="E715" s="16" t="inlineStr">
        <is>
          <t>HIST</t>
        </is>
      </c>
      <c r="F715" s="16" t="n"/>
      <c r="G715" s="16" t="inlineStr">
        <is>
          <t>lab.store@jcb.com</t>
        </is>
      </c>
      <c r="H715" s="16" t="inlineStr">
        <is>
          <t>Historic issue</t>
        </is>
      </c>
    </row>
    <row r="716" ht="15" customHeight="1" s="13">
      <c r="A716" s="20" t="n">
        <v>46218</v>
      </c>
      <c r="B716" s="16" t="inlineStr">
        <is>
          <t>7210/0224</t>
        </is>
      </c>
      <c r="C716" s="16" t="inlineStr">
        <is>
          <t>ISSUE</t>
        </is>
      </c>
      <c r="D716" s="16" t="n">
        <v>6</v>
      </c>
      <c r="E716" s="16" t="inlineStr">
        <is>
          <t>HIST</t>
        </is>
      </c>
      <c r="F716" s="16" t="n"/>
      <c r="G716" s="16" t="inlineStr">
        <is>
          <t>lab.store@jcb.com</t>
        </is>
      </c>
      <c r="H716" s="16" t="inlineStr">
        <is>
          <t>Historic issue</t>
        </is>
      </c>
    </row>
    <row r="717" ht="15" customHeight="1" s="13">
      <c r="A717" s="20" t="n">
        <v>46218</v>
      </c>
      <c r="B717" s="16" t="inlineStr">
        <is>
          <t>7201/0127</t>
        </is>
      </c>
      <c r="C717" s="16" t="inlineStr">
        <is>
          <t>ISSUE</t>
        </is>
      </c>
      <c r="D717" s="16" t="n">
        <v>27</v>
      </c>
      <c r="E717" s="16" t="inlineStr">
        <is>
          <t>HIST</t>
        </is>
      </c>
      <c r="F717" s="16" t="n"/>
      <c r="G717" s="16" t="inlineStr">
        <is>
          <t>lab.store@jcb.com</t>
        </is>
      </c>
      <c r="H717" s="16" t="inlineStr">
        <is>
          <t>Historic issue</t>
        </is>
      </c>
    </row>
    <row r="718" ht="15" customHeight="1" s="13">
      <c r="A718" s="20" t="n">
        <v>46218</v>
      </c>
      <c r="B718" s="16" t="inlineStr">
        <is>
          <t>7219/0284</t>
        </is>
      </c>
      <c r="C718" s="16" t="inlineStr">
        <is>
          <t>ISSUE</t>
        </is>
      </c>
      <c r="D718" s="16" t="n">
        <v>5</v>
      </c>
      <c r="E718" s="16" t="inlineStr">
        <is>
          <t>HIST</t>
        </is>
      </c>
      <c r="F718" s="16" t="n"/>
      <c r="G718" s="16" t="inlineStr">
        <is>
          <t>lab.store@jcb.com</t>
        </is>
      </c>
      <c r="H718" s="16" t="inlineStr">
        <is>
          <t>Historic issue</t>
        </is>
      </c>
    </row>
    <row r="719" ht="15" customHeight="1" s="13">
      <c r="A719" s="20" t="n">
        <v>46219</v>
      </c>
      <c r="B719" s="16" t="inlineStr">
        <is>
          <t>7216/0002</t>
        </is>
      </c>
      <c r="C719" s="16" t="inlineStr">
        <is>
          <t>ISSUE</t>
        </is>
      </c>
      <c r="D719" s="16" t="n">
        <v>17</v>
      </c>
      <c r="E719" s="16" t="inlineStr">
        <is>
          <t>HIST</t>
        </is>
      </c>
      <c r="F719" s="16" t="n"/>
      <c r="G719" s="16" t="inlineStr">
        <is>
          <t>lab.store@jcb.com</t>
        </is>
      </c>
      <c r="H719" s="16" t="inlineStr">
        <is>
          <t>Historic issue</t>
        </is>
      </c>
    </row>
    <row r="720" ht="15" customHeight="1" s="13">
      <c r="A720" s="20" t="n">
        <v>46222</v>
      </c>
      <c r="B720" s="16" t="inlineStr">
        <is>
          <t>332/E9931</t>
        </is>
      </c>
      <c r="C720" s="16" t="inlineStr">
        <is>
          <t>ISSUE</t>
        </is>
      </c>
      <c r="D720" s="16" t="n">
        <v>8</v>
      </c>
      <c r="E720" s="16" t="inlineStr">
        <is>
          <t>HIST</t>
        </is>
      </c>
      <c r="F720" s="16" t="n"/>
      <c r="G720" s="16" t="inlineStr">
        <is>
          <t>lab.store@jcb.com</t>
        </is>
      </c>
      <c r="H720" s="16" t="inlineStr">
        <is>
          <t>Historic issue</t>
        </is>
      </c>
    </row>
    <row r="721" ht="15" customHeight="1" s="13">
      <c r="A721" s="20" t="n">
        <v>46222</v>
      </c>
      <c r="B721" s="16" t="inlineStr">
        <is>
          <t>701/80265</t>
        </is>
      </c>
      <c r="C721" s="16" t="inlineStr">
        <is>
          <t>ISSUE</t>
        </is>
      </c>
      <c r="D721" s="16" t="n">
        <v>9</v>
      </c>
      <c r="E721" s="16" t="inlineStr">
        <is>
          <t>HIST</t>
        </is>
      </c>
      <c r="F721" s="16" t="n"/>
      <c r="G721" s="16" t="inlineStr">
        <is>
          <t>lab.store@jcb.com</t>
        </is>
      </c>
      <c r="H721" s="16" t="inlineStr">
        <is>
          <t>Historic issue</t>
        </is>
      </c>
    </row>
    <row r="722" ht="15" customHeight="1" s="13">
      <c r="A722" s="20" t="n">
        <v>46223</v>
      </c>
      <c r="B722" s="16" t="inlineStr">
        <is>
          <t>7232/0028</t>
        </is>
      </c>
      <c r="C722" s="16" t="inlineStr">
        <is>
          <t>ISSUE</t>
        </is>
      </c>
      <c r="D722" s="16" t="n">
        <v>24</v>
      </c>
      <c r="E722" s="16" t="inlineStr">
        <is>
          <t>HIST</t>
        </is>
      </c>
      <c r="F722" s="16" t="n"/>
      <c r="G722" s="16" t="inlineStr">
        <is>
          <t>lab.store@jcb.com</t>
        </is>
      </c>
      <c r="H722" s="16" t="inlineStr">
        <is>
          <t>Historic issue</t>
        </is>
      </c>
    </row>
    <row r="723" ht="15" customHeight="1" s="13">
      <c r="A723" s="20" t="n">
        <v>46224</v>
      </c>
      <c r="B723" s="16" t="inlineStr">
        <is>
          <t>7208/1002</t>
        </is>
      </c>
      <c r="C723" s="16" t="inlineStr">
        <is>
          <t>ISSUE</t>
        </is>
      </c>
      <c r="D723" s="16" t="n">
        <v>30</v>
      </c>
      <c r="E723" s="16" t="inlineStr">
        <is>
          <t>HIST</t>
        </is>
      </c>
      <c r="F723" s="16" t="n"/>
      <c r="G723" s="16" t="inlineStr">
        <is>
          <t>lab.store@jcb.com</t>
        </is>
      </c>
      <c r="H723" s="16" t="inlineStr">
        <is>
          <t>Historic issue</t>
        </is>
      </c>
    </row>
    <row r="724" ht="15" customHeight="1" s="13">
      <c r="A724" s="20" t="n">
        <v>46225</v>
      </c>
      <c r="B724" s="16" t="inlineStr">
        <is>
          <t>7216/0051</t>
        </is>
      </c>
      <c r="C724" s="16" t="inlineStr">
        <is>
          <t>ISSUE</t>
        </is>
      </c>
      <c r="D724" s="16" t="n">
        <v>13</v>
      </c>
      <c r="E724" s="16" t="inlineStr">
        <is>
          <t>HIST</t>
        </is>
      </c>
      <c r="F724" s="16" t="n"/>
      <c r="G724" s="16" t="inlineStr">
        <is>
          <t>lab.store@jcb.com</t>
        </is>
      </c>
      <c r="H724" s="16" t="inlineStr">
        <is>
          <t>Historic issue</t>
        </is>
      </c>
    </row>
    <row r="725" ht="15" customHeight="1" s="13">
      <c r="A725" s="20" t="n">
        <v>46225</v>
      </c>
      <c r="B725" s="16" t="inlineStr">
        <is>
          <t>7219/0310</t>
        </is>
      </c>
      <c r="C725" s="16" t="inlineStr">
        <is>
          <t>ISSUE</t>
        </is>
      </c>
      <c r="D725" s="16" t="n">
        <v>33</v>
      </c>
      <c r="E725" s="16" t="inlineStr">
        <is>
          <t>HIST</t>
        </is>
      </c>
      <c r="F725" s="16" t="n"/>
      <c r="G725" s="16" t="inlineStr">
        <is>
          <t>lab.store@jcb.com</t>
        </is>
      </c>
      <c r="H725" s="16" t="inlineStr">
        <is>
          <t>Historic issue</t>
        </is>
      </c>
    </row>
    <row r="726" ht="15" customHeight="1" s="13">
      <c r="A726" s="20" t="n">
        <v>46225</v>
      </c>
      <c r="B726" s="16" t="inlineStr">
        <is>
          <t>7219/0024</t>
        </is>
      </c>
      <c r="C726" s="16" t="inlineStr">
        <is>
          <t>ISSUE</t>
        </is>
      </c>
      <c r="D726" s="16" t="n">
        <v>12</v>
      </c>
      <c r="E726" s="16" t="inlineStr">
        <is>
          <t>HIST</t>
        </is>
      </c>
      <c r="F726" s="16" t="n"/>
      <c r="G726" s="16" t="inlineStr">
        <is>
          <t>lab.store@jcb.com</t>
        </is>
      </c>
      <c r="H726" s="16" t="inlineStr">
        <is>
          <t>Historic issue</t>
        </is>
      </c>
    </row>
    <row r="727" ht="15" customHeight="1" s="13">
      <c r="A727" s="20" t="n">
        <v>46226</v>
      </c>
      <c r="B727" s="16" t="inlineStr">
        <is>
          <t>332/E0988</t>
        </is>
      </c>
      <c r="C727" s="16" t="inlineStr">
        <is>
          <t>ISSUE</t>
        </is>
      </c>
      <c r="D727" s="16" t="n">
        <v>3</v>
      </c>
      <c r="E727" s="16" t="inlineStr">
        <is>
          <t>HIST</t>
        </is>
      </c>
      <c r="F727" s="16" t="n"/>
      <c r="G727" s="16" t="inlineStr">
        <is>
          <t>lab.store@jcb.com</t>
        </is>
      </c>
      <c r="H727" s="16" t="inlineStr">
        <is>
          <t>Historic issue</t>
        </is>
      </c>
    </row>
    <row r="728" ht="15" customHeight="1" s="13">
      <c r="A728" s="20" t="n">
        <v>46226</v>
      </c>
      <c r="B728" s="16" t="inlineStr">
        <is>
          <t>MC000SCNHWEJJ001</t>
        </is>
      </c>
      <c r="C728" s="16" t="inlineStr">
        <is>
          <t>ISSUE</t>
        </is>
      </c>
      <c r="D728" s="16" t="n">
        <v>75</v>
      </c>
      <c r="E728" s="16" t="inlineStr">
        <is>
          <t>HIST</t>
        </is>
      </c>
      <c r="F728" s="16" t="n"/>
      <c r="G728" s="16" t="inlineStr">
        <is>
          <t>lab.store@jcb.com</t>
        </is>
      </c>
      <c r="H728" s="16" t="inlineStr">
        <is>
          <t>Historic issue</t>
        </is>
      </c>
    </row>
    <row r="729" ht="15" customHeight="1" s="13">
      <c r="A729" s="20" t="n">
        <v>46226</v>
      </c>
      <c r="B729" s="16" t="inlineStr">
        <is>
          <t>P_SP_MATH_MAI_208</t>
        </is>
      </c>
      <c r="C729" s="16" t="inlineStr">
        <is>
          <t>ISSUE</t>
        </is>
      </c>
      <c r="D729" s="16" t="n">
        <v>5</v>
      </c>
      <c r="E729" s="16" t="inlineStr">
        <is>
          <t>HIST</t>
        </is>
      </c>
      <c r="F729" s="16" t="n"/>
      <c r="G729" s="16" t="inlineStr">
        <is>
          <t>lab.store@jcb.com</t>
        </is>
      </c>
      <c r="H729" s="16" t="inlineStr">
        <is>
          <t>Historic issue</t>
        </is>
      </c>
    </row>
    <row r="730" ht="15" customHeight="1" s="13">
      <c r="A730" s="20" t="n">
        <v>46231</v>
      </c>
      <c r="B730" s="16" t="inlineStr">
        <is>
          <t>7212/0001</t>
        </is>
      </c>
      <c r="C730" s="16" t="inlineStr">
        <is>
          <t>ISSUE</t>
        </is>
      </c>
      <c r="D730" s="16" t="n">
        <v>2</v>
      </c>
      <c r="E730" s="16" t="inlineStr">
        <is>
          <t>HIST</t>
        </is>
      </c>
      <c r="F730" s="16" t="n"/>
      <c r="G730" s="16" t="inlineStr">
        <is>
          <t>lab.store@jcb.com</t>
        </is>
      </c>
      <c r="H730" s="16" t="inlineStr">
        <is>
          <t>Historic issue</t>
        </is>
      </c>
    </row>
    <row r="731" ht="15" customHeight="1" s="13">
      <c r="A731" s="20" t="n">
        <v>46235</v>
      </c>
      <c r="B731" s="16" t="inlineStr">
        <is>
          <t>MC000SCVMMMJJ002</t>
        </is>
      </c>
      <c r="C731" s="16" t="inlineStr">
        <is>
          <t>ISSUE</t>
        </is>
      </c>
      <c r="D731" s="16" t="n">
        <v>293</v>
      </c>
      <c r="E731" s="16" t="inlineStr">
        <is>
          <t>HIST</t>
        </is>
      </c>
      <c r="F731" s="16" t="n"/>
      <c r="G731" s="16" t="inlineStr">
        <is>
          <t>lab.store@jcb.com</t>
        </is>
      </c>
      <c r="H731" s="16" t="inlineStr">
        <is>
          <t>Historic issue</t>
        </is>
      </c>
    </row>
    <row r="732" ht="15" customHeight="1" s="13">
      <c r="A732" s="20" t="n">
        <v>46236</v>
      </c>
      <c r="B732" s="16" t="inlineStr">
        <is>
          <t>7210/0264</t>
        </is>
      </c>
      <c r="C732" s="16" t="inlineStr">
        <is>
          <t>ISSUE</t>
        </is>
      </c>
      <c r="D732" s="16" t="n">
        <v>6</v>
      </c>
      <c r="E732" s="16" t="inlineStr">
        <is>
          <t>HIST</t>
        </is>
      </c>
      <c r="F732" s="16" t="n"/>
      <c r="G732" s="16" t="inlineStr">
        <is>
          <t>lab.store@jcb.com</t>
        </is>
      </c>
      <c r="H732" s="16" t="inlineStr">
        <is>
          <t>Historic issue</t>
        </is>
      </c>
    </row>
    <row r="733" ht="15" customHeight="1" s="13">
      <c r="A733" s="20" t="n">
        <v>46237</v>
      </c>
      <c r="B733" s="16" t="inlineStr">
        <is>
          <t>7243/0714</t>
        </is>
      </c>
      <c r="C733" s="16" t="inlineStr">
        <is>
          <t>RECEIPT</t>
        </is>
      </c>
      <c r="D733" s="16" t="n">
        <v>10</v>
      </c>
      <c r="E733" s="16" t="inlineStr">
        <is>
          <t>FOC_TE_24</t>
        </is>
      </c>
      <c r="F733" s="16" t="n"/>
      <c r="G733" s="16" t="inlineStr">
        <is>
          <t>lab.store@jcb.com</t>
        </is>
      </c>
      <c r="H733" s="16" t="n"/>
    </row>
    <row r="734" ht="15" customHeight="1" s="13">
      <c r="A734" s="20" t="n">
        <v>46237</v>
      </c>
      <c r="B734" s="16" t="inlineStr">
        <is>
          <t>7216/0054</t>
        </is>
      </c>
      <c r="C734" s="16" t="inlineStr">
        <is>
          <t>RECEIPT</t>
        </is>
      </c>
      <c r="D734" s="16" t="n">
        <v>5</v>
      </c>
      <c r="E734" s="16" t="inlineStr">
        <is>
          <t>FOC_TE_24</t>
        </is>
      </c>
      <c r="F734" s="16" t="n"/>
      <c r="G734" s="16" t="inlineStr">
        <is>
          <t>lab.store@jcb.com</t>
        </is>
      </c>
      <c r="H734" s="16" t="n"/>
    </row>
    <row r="735" ht="15" customHeight="1" s="13">
      <c r="A735" s="20" t="n">
        <v>46237</v>
      </c>
      <c r="B735" s="16" t="inlineStr">
        <is>
          <t>7219/0310</t>
        </is>
      </c>
      <c r="C735" s="16" t="inlineStr">
        <is>
          <t>RECEIPT</t>
        </is>
      </c>
      <c r="D735" s="16" t="n">
        <v>10</v>
      </c>
      <c r="E735" s="16" t="inlineStr">
        <is>
          <t>FOC_TE_24</t>
        </is>
      </c>
      <c r="F735" s="16" t="n"/>
      <c r="G735" s="16" t="inlineStr">
        <is>
          <t>lab.store@jcb.com</t>
        </is>
      </c>
      <c r="H735" s="16" t="n"/>
    </row>
    <row r="736" ht="15" customHeight="1" s="13">
      <c r="A736" s="20" t="n">
        <v>46237</v>
      </c>
      <c r="B736" s="16" t="inlineStr">
        <is>
          <t>7201/0657</t>
        </is>
      </c>
      <c r="C736" s="16" t="inlineStr">
        <is>
          <t>RECEIPT</t>
        </is>
      </c>
      <c r="D736" s="16" t="n">
        <v>70</v>
      </c>
      <c r="E736" s="16" t="inlineStr">
        <is>
          <t>FOC_TE_24</t>
        </is>
      </c>
      <c r="F736" s="16" t="n"/>
      <c r="G736" s="16" t="inlineStr">
        <is>
          <t>lab.store@jcb.com</t>
        </is>
      </c>
      <c r="H736" s="16" t="n"/>
    </row>
    <row r="737" ht="15" customHeight="1" s="13">
      <c r="A737" s="20" t="n">
        <v>46237</v>
      </c>
      <c r="B737" s="16" t="inlineStr">
        <is>
          <t>332/T4414</t>
        </is>
      </c>
      <c r="C737" s="16" t="inlineStr">
        <is>
          <t>RECEIPT</t>
        </is>
      </c>
      <c r="D737" s="16" t="n">
        <v>100</v>
      </c>
      <c r="E737" s="16" t="inlineStr">
        <is>
          <t>FOC_TE_24</t>
        </is>
      </c>
      <c r="F737" s="16" t="n"/>
      <c r="G737" s="16" t="inlineStr">
        <is>
          <t>lab.store@jcb.com</t>
        </is>
      </c>
      <c r="H737" s="16" t="n"/>
    </row>
    <row r="738" ht="15" customHeight="1" s="13">
      <c r="A738" s="20" t="n">
        <v>46237</v>
      </c>
      <c r="B738" s="16" t="inlineStr">
        <is>
          <t>7201/0746</t>
        </is>
      </c>
      <c r="C738" s="16" t="inlineStr">
        <is>
          <t>RECEIPT</t>
        </is>
      </c>
      <c r="D738" s="16" t="n">
        <v>70</v>
      </c>
      <c r="E738" s="16" t="inlineStr">
        <is>
          <t>FOC_TE_24</t>
        </is>
      </c>
      <c r="F738" s="16" t="n"/>
      <c r="G738" s="16" t="inlineStr">
        <is>
          <t>lab.store@jcb.com</t>
        </is>
      </c>
      <c r="H738" s="16" t="n"/>
    </row>
    <row r="739" ht="15" customHeight="1" s="13">
      <c r="A739" s="20" t="n">
        <v>46238</v>
      </c>
      <c r="B739" s="16" t="inlineStr">
        <is>
          <t>P_CON_GEN_ASLY_002</t>
        </is>
      </c>
      <c r="C739" s="16" t="inlineStr">
        <is>
          <t>ISSUE</t>
        </is>
      </c>
      <c r="D739" s="16" t="n">
        <v>506</v>
      </c>
      <c r="E739" s="16" t="inlineStr">
        <is>
          <t>HIST</t>
        </is>
      </c>
      <c r="F739" s="16" t="n"/>
      <c r="G739" s="16" t="inlineStr">
        <is>
          <t>lab.store@jcb.com</t>
        </is>
      </c>
      <c r="H739" s="16" t="inlineStr">
        <is>
          <t>Historic issue</t>
        </is>
      </c>
    </row>
    <row r="740" ht="15" customHeight="1" s="13">
      <c r="A740" s="20" t="n">
        <v>46239</v>
      </c>
      <c r="B740" s="16" t="inlineStr">
        <is>
          <t>7219/0159</t>
        </is>
      </c>
      <c r="C740" s="16" t="inlineStr">
        <is>
          <t>ISSUE</t>
        </is>
      </c>
      <c r="D740" s="16" t="n">
        <v>6</v>
      </c>
      <c r="E740" s="16" t="inlineStr">
        <is>
          <t>HIST</t>
        </is>
      </c>
      <c r="F740" s="16" t="n"/>
      <c r="G740" s="16" t="inlineStr">
        <is>
          <t>lab.store@jcb.com</t>
        </is>
      </c>
      <c r="H740" s="16" t="inlineStr">
        <is>
          <t>Historic issue</t>
        </is>
      </c>
    </row>
    <row r="741" ht="15" customHeight="1" s="13">
      <c r="A741" s="20" t="n">
        <v>46239</v>
      </c>
      <c r="B741" s="16" t="inlineStr">
        <is>
          <t>7204/0089</t>
        </is>
      </c>
      <c r="C741" s="16" t="inlineStr">
        <is>
          <t>ISSUE</t>
        </is>
      </c>
      <c r="D741" s="16" t="n">
        <v>9</v>
      </c>
      <c r="E741" s="16" t="inlineStr">
        <is>
          <t>HIST</t>
        </is>
      </c>
      <c r="F741" s="16" t="n"/>
      <c r="G741" s="16" t="inlineStr">
        <is>
          <t>lab.store@jcb.com</t>
        </is>
      </c>
      <c r="H741" s="16" t="inlineStr">
        <is>
          <t>Historic issue</t>
        </is>
      </c>
    </row>
    <row r="742" ht="15" customHeight="1" s="13">
      <c r="A742" s="20" t="n">
        <v>46239</v>
      </c>
      <c r="B742" s="16" t="inlineStr">
        <is>
          <t>7201/1137</t>
        </is>
      </c>
      <c r="C742" s="16" t="inlineStr">
        <is>
          <t>ISSUE</t>
        </is>
      </c>
      <c r="D742" s="16" t="n">
        <v>78</v>
      </c>
      <c r="E742" s="16" t="inlineStr">
        <is>
          <t>HIST</t>
        </is>
      </c>
      <c r="F742" s="16" t="n"/>
      <c r="G742" s="16" t="inlineStr">
        <is>
          <t>lab.store@jcb.com</t>
        </is>
      </c>
      <c r="H742" s="16" t="inlineStr">
        <is>
          <t>Historic issue</t>
        </is>
      </c>
    </row>
    <row r="743" ht="15" customHeight="1" s="13">
      <c r="A743" s="20" t="n">
        <v>46239</v>
      </c>
      <c r="B743" s="16" t="inlineStr">
        <is>
          <t>7239/0089</t>
        </is>
      </c>
      <c r="C743" s="16" t="inlineStr">
        <is>
          <t>ISSUE</t>
        </is>
      </c>
      <c r="D743" s="16" t="n">
        <v>11</v>
      </c>
      <c r="E743" s="16" t="inlineStr">
        <is>
          <t>HIST</t>
        </is>
      </c>
      <c r="F743" s="16" t="n"/>
      <c r="G743" s="16" t="inlineStr">
        <is>
          <t>lab.store@jcb.com</t>
        </is>
      </c>
      <c r="H743" s="16" t="inlineStr">
        <is>
          <t>Historic issue</t>
        </is>
      </c>
    </row>
    <row r="744" ht="15" customHeight="1" s="13">
      <c r="A744" s="20" t="n">
        <v>46241</v>
      </c>
      <c r="B744" s="16" t="inlineStr">
        <is>
          <t>MC000RVT1CXX1SQ003</t>
        </is>
      </c>
      <c r="C744" s="16" t="inlineStr">
        <is>
          <t>ISSUE</t>
        </is>
      </c>
      <c r="D744" s="16" t="n">
        <v>36</v>
      </c>
      <c r="E744" s="16" t="inlineStr">
        <is>
          <t>HIST</t>
        </is>
      </c>
      <c r="F744" s="16" t="n"/>
      <c r="G744" s="16" t="inlineStr">
        <is>
          <t>lab.store@jcb.com</t>
        </is>
      </c>
      <c r="H744" s="16" t="inlineStr">
        <is>
          <t>Historic issue</t>
        </is>
      </c>
    </row>
    <row r="745" ht="15" customHeight="1" s="13">
      <c r="A745" s="20" t="n">
        <v>46241</v>
      </c>
      <c r="B745" s="16" t="inlineStr">
        <is>
          <t>7210/0032</t>
        </is>
      </c>
      <c r="C745" s="16" t="inlineStr">
        <is>
          <t>ISSUE</t>
        </is>
      </c>
      <c r="D745" s="16" t="n">
        <v>5</v>
      </c>
      <c r="E745" s="16" t="inlineStr">
        <is>
          <t>HIST</t>
        </is>
      </c>
      <c r="F745" s="16" t="n"/>
      <c r="G745" s="16" t="inlineStr">
        <is>
          <t>lab.store@jcb.com</t>
        </is>
      </c>
      <c r="H745" s="16" t="inlineStr">
        <is>
          <t>Historic issue</t>
        </is>
      </c>
    </row>
    <row r="746" ht="15" customHeight="1" s="13">
      <c r="A746" s="20" t="n">
        <v>46242</v>
      </c>
      <c r="B746" s="16" t="inlineStr">
        <is>
          <t>7213/0015</t>
        </is>
      </c>
      <c r="C746" s="16" t="inlineStr">
        <is>
          <t>ISSUE</t>
        </is>
      </c>
      <c r="D746" s="16" t="n">
        <v>20</v>
      </c>
      <c r="E746" s="16" t="inlineStr">
        <is>
          <t>HIST</t>
        </is>
      </c>
      <c r="F746" s="16" t="n"/>
      <c r="G746" s="16" t="inlineStr">
        <is>
          <t>lab.store@jcb.com</t>
        </is>
      </c>
      <c r="H746" s="16" t="inlineStr">
        <is>
          <t>Historic issue</t>
        </is>
      </c>
    </row>
    <row r="747" ht="15" customHeight="1" s="13">
      <c r="A747" s="20" t="n">
        <v>46244</v>
      </c>
      <c r="B747" s="16" t="inlineStr">
        <is>
          <t>7243/0460</t>
        </is>
      </c>
      <c r="C747" s="16" t="inlineStr">
        <is>
          <t>ISSUE</t>
        </is>
      </c>
      <c r="D747" s="16" t="n">
        <v>8</v>
      </c>
      <c r="E747" s="16" t="inlineStr">
        <is>
          <t>HIST</t>
        </is>
      </c>
      <c r="F747" s="16" t="n"/>
      <c r="G747" s="16" t="inlineStr">
        <is>
          <t>lab.store@jcb.com</t>
        </is>
      </c>
      <c r="H747" s="16" t="inlineStr">
        <is>
          <t>Historic issue</t>
        </is>
      </c>
    </row>
    <row r="748" ht="15" customHeight="1" s="13">
      <c r="A748" s="20" t="n">
        <v>46245</v>
      </c>
      <c r="B748" s="16" t="inlineStr">
        <is>
          <t>P_SP_ELEC_GEN_171</t>
        </is>
      </c>
      <c r="C748" s="16" t="inlineStr">
        <is>
          <t>ISSUE</t>
        </is>
      </c>
      <c r="D748" s="16" t="n">
        <v>13</v>
      </c>
      <c r="E748" s="16" t="inlineStr">
        <is>
          <t>HIST</t>
        </is>
      </c>
      <c r="F748" s="16" t="n"/>
      <c r="G748" s="16" t="inlineStr">
        <is>
          <t>lab.store@jcb.com</t>
        </is>
      </c>
      <c r="H748" s="16" t="inlineStr">
        <is>
          <t>Historic issue</t>
        </is>
      </c>
    </row>
    <row r="749" ht="15" customHeight="1" s="13">
      <c r="A749" s="20" t="n">
        <v>46245</v>
      </c>
      <c r="B749" s="16" t="inlineStr">
        <is>
          <t>7204/0258</t>
        </is>
      </c>
      <c r="C749" s="16" t="inlineStr">
        <is>
          <t>ISSUE</t>
        </is>
      </c>
      <c r="D749" s="16" t="n">
        <v>39</v>
      </c>
      <c r="E749" s="16" t="inlineStr">
        <is>
          <t>HIST</t>
        </is>
      </c>
      <c r="F749" s="16" t="n"/>
      <c r="G749" s="16" t="inlineStr">
        <is>
          <t>lab.store@jcb.com</t>
        </is>
      </c>
      <c r="H749" s="16" t="inlineStr">
        <is>
          <t>Historic issue</t>
        </is>
      </c>
    </row>
    <row r="750" ht="15" customHeight="1" s="13">
      <c r="A750" s="20" t="n">
        <v>46246</v>
      </c>
      <c r="B750" s="16" t="inlineStr">
        <is>
          <t>7243/0318</t>
        </is>
      </c>
      <c r="C750" s="16" t="inlineStr">
        <is>
          <t>ISSUE</t>
        </is>
      </c>
      <c r="D750" s="16" t="n">
        <v>16</v>
      </c>
      <c r="E750" s="16" t="inlineStr">
        <is>
          <t>HIST</t>
        </is>
      </c>
      <c r="F750" s="16" t="n"/>
      <c r="G750" s="16" t="inlineStr">
        <is>
          <t>lab.store@jcb.com</t>
        </is>
      </c>
      <c r="H750" s="16" t="inlineStr">
        <is>
          <t>Historic issue</t>
        </is>
      </c>
    </row>
    <row r="751" ht="15" customHeight="1" s="13">
      <c r="A751" s="20" t="n">
        <v>46246</v>
      </c>
      <c r="B751" s="16" t="inlineStr">
        <is>
          <t>7219/0157</t>
        </is>
      </c>
      <c r="C751" s="16" t="inlineStr">
        <is>
          <t>ISSUE</t>
        </is>
      </c>
      <c r="D751" s="16" t="n">
        <v>4</v>
      </c>
      <c r="E751" s="16" t="inlineStr">
        <is>
          <t>HIST</t>
        </is>
      </c>
      <c r="F751" s="16" t="n"/>
      <c r="G751" s="16" t="inlineStr">
        <is>
          <t>lab.store@jcb.com</t>
        </is>
      </c>
      <c r="H751" s="16" t="inlineStr">
        <is>
          <t>Historic issue</t>
        </is>
      </c>
    </row>
    <row r="752" ht="15" customHeight="1" s="13">
      <c r="A752" s="20" t="n">
        <v>46247</v>
      </c>
      <c r="B752" s="16" t="inlineStr">
        <is>
          <t>7207/1302</t>
        </is>
      </c>
      <c r="C752" s="16" t="inlineStr">
        <is>
          <t>ISSUE</t>
        </is>
      </c>
      <c r="D752" s="16" t="n">
        <v>3</v>
      </c>
      <c r="E752" s="16" t="inlineStr">
        <is>
          <t>HIST</t>
        </is>
      </c>
      <c r="F752" s="16" t="n"/>
      <c r="G752" s="16" t="inlineStr">
        <is>
          <t>lab.store@jcb.com</t>
        </is>
      </c>
      <c r="H752" s="16" t="inlineStr">
        <is>
          <t>Historic issue</t>
        </is>
      </c>
    </row>
    <row r="753" ht="15" customHeight="1" s="13">
      <c r="A753" s="20" t="n">
        <v>46249</v>
      </c>
      <c r="B753" s="16" t="inlineStr">
        <is>
          <t>716/30354</t>
        </is>
      </c>
      <c r="C753" s="16" t="inlineStr">
        <is>
          <t>ISSUE</t>
        </is>
      </c>
      <c r="D753" s="16" t="n">
        <v>33</v>
      </c>
      <c r="E753" s="16" t="inlineStr">
        <is>
          <t>HIST</t>
        </is>
      </c>
      <c r="F753" s="16" t="n"/>
      <c r="G753" s="16" t="inlineStr">
        <is>
          <t>lab.store@jcb.com</t>
        </is>
      </c>
      <c r="H753" s="16" t="inlineStr">
        <is>
          <t>Historic issue</t>
        </is>
      </c>
    </row>
    <row r="754" ht="15" customHeight="1" s="13">
      <c r="A754" s="20" t="n">
        <v>46249</v>
      </c>
      <c r="B754" s="16" t="inlineStr">
        <is>
          <t>7201/0724</t>
        </is>
      </c>
      <c r="C754" s="16" t="inlineStr">
        <is>
          <t>ISSUE</t>
        </is>
      </c>
      <c r="D754" s="16" t="n">
        <v>28</v>
      </c>
      <c r="E754" s="16" t="inlineStr">
        <is>
          <t>HIST</t>
        </is>
      </c>
      <c r="F754" s="16" t="n"/>
      <c r="G754" s="16" t="inlineStr">
        <is>
          <t>lab.store@jcb.com</t>
        </is>
      </c>
      <c r="H754" s="16" t="inlineStr">
        <is>
          <t>Historic issue</t>
        </is>
      </c>
    </row>
    <row r="755" ht="15" customHeight="1" s="13">
      <c r="A755" s="20" t="n">
        <v>46250</v>
      </c>
      <c r="B755" s="16" t="inlineStr">
        <is>
          <t>7201/0451</t>
        </is>
      </c>
      <c r="C755" s="16" t="inlineStr">
        <is>
          <t>ISSUE</t>
        </is>
      </c>
      <c r="D755" s="16" t="n">
        <v>84</v>
      </c>
      <c r="E755" s="16" t="inlineStr">
        <is>
          <t>HIST</t>
        </is>
      </c>
      <c r="F755" s="16" t="n"/>
      <c r="G755" s="16" t="inlineStr">
        <is>
          <t>lab.store@jcb.com</t>
        </is>
      </c>
      <c r="H755" s="16" t="inlineStr">
        <is>
          <t>Historic issue</t>
        </is>
      </c>
    </row>
    <row r="756" ht="15" customHeight="1" s="13">
      <c r="A756" s="20" t="n">
        <v>46252</v>
      </c>
      <c r="B756" s="16" t="inlineStr">
        <is>
          <t>7219/0343</t>
        </is>
      </c>
      <c r="C756" s="16" t="inlineStr">
        <is>
          <t>RECEIPT</t>
        </is>
      </c>
      <c r="D756" s="16" t="n">
        <v>2</v>
      </c>
      <c r="E756" s="16" t="inlineStr">
        <is>
          <t>FOC_TE_25</t>
        </is>
      </c>
      <c r="F756" s="16" t="n"/>
      <c r="G756" s="16" t="inlineStr">
        <is>
          <t>lab.store@jcb.com</t>
        </is>
      </c>
      <c r="H756" s="16" t="n"/>
    </row>
    <row r="757" ht="15" customHeight="1" s="13">
      <c r="A757" s="20" t="n">
        <v>46252</v>
      </c>
      <c r="B757" s="16" t="inlineStr">
        <is>
          <t>7216/0022</t>
        </is>
      </c>
      <c r="C757" s="16" t="inlineStr">
        <is>
          <t>RECEIPT</t>
        </is>
      </c>
      <c r="D757" s="16" t="n">
        <v>15</v>
      </c>
      <c r="E757" s="16" t="inlineStr">
        <is>
          <t>FOC_TE_25</t>
        </is>
      </c>
      <c r="F757" s="16" t="n"/>
      <c r="G757" s="16" t="inlineStr">
        <is>
          <t>lab.store@jcb.com</t>
        </is>
      </c>
      <c r="H757" s="16" t="n"/>
    </row>
    <row r="758" ht="15" customHeight="1" s="13">
      <c r="A758" s="20" t="n">
        <v>46252</v>
      </c>
      <c r="B758" s="16" t="inlineStr">
        <is>
          <t>7201/0187</t>
        </is>
      </c>
      <c r="C758" s="16" t="inlineStr">
        <is>
          <t>RECEIPT</t>
        </is>
      </c>
      <c r="D758" s="16" t="n">
        <v>100</v>
      </c>
      <c r="E758" s="16" t="inlineStr">
        <is>
          <t>FOC_TE_25</t>
        </is>
      </c>
      <c r="F758" s="16" t="n"/>
      <c r="G758" s="16" t="inlineStr">
        <is>
          <t>lab.store@jcb.com</t>
        </is>
      </c>
      <c r="H758" s="16" t="n"/>
    </row>
    <row r="759" ht="15" customHeight="1" s="13">
      <c r="A759" s="20" t="n">
        <v>46252</v>
      </c>
      <c r="B759" s="16" t="inlineStr">
        <is>
          <t>7201/0791</t>
        </is>
      </c>
      <c r="C759" s="16" t="inlineStr">
        <is>
          <t>RECEIPT</t>
        </is>
      </c>
      <c r="D759" s="16" t="n">
        <v>100</v>
      </c>
      <c r="E759" s="16" t="inlineStr">
        <is>
          <t>FOC_TE_25</t>
        </is>
      </c>
      <c r="F759" s="16" t="n"/>
      <c r="G759" s="16" t="inlineStr">
        <is>
          <t>lab.store@jcb.com</t>
        </is>
      </c>
      <c r="H759" s="16" t="n"/>
    </row>
    <row r="760" ht="15" customHeight="1" s="13">
      <c r="A760" s="20" t="n">
        <v>46252</v>
      </c>
      <c r="B760" s="16" t="inlineStr">
        <is>
          <t>7201/0095</t>
        </is>
      </c>
      <c r="C760" s="16" t="inlineStr">
        <is>
          <t>RECEIPT</t>
        </is>
      </c>
      <c r="D760" s="16" t="n">
        <v>100</v>
      </c>
      <c r="E760" s="16" t="inlineStr">
        <is>
          <t>FOC_TE_25</t>
        </is>
      </c>
      <c r="F760" s="16" t="n"/>
      <c r="G760" s="16" t="inlineStr">
        <is>
          <t>lab.store@jcb.com</t>
        </is>
      </c>
      <c r="H760" s="16" t="n"/>
    </row>
    <row r="761" ht="15" customHeight="1" s="13">
      <c r="A761" s="20" t="n">
        <v>46252</v>
      </c>
      <c r="B761" s="16" t="inlineStr">
        <is>
          <t>7210/0082</t>
        </is>
      </c>
      <c r="C761" s="16" t="inlineStr">
        <is>
          <t>RECEIPT</t>
        </is>
      </c>
      <c r="D761" s="16" t="n">
        <v>15</v>
      </c>
      <c r="E761" s="16" t="inlineStr">
        <is>
          <t>FOC_TE_25</t>
        </is>
      </c>
      <c r="F761" s="16" t="n"/>
      <c r="G761" s="16" t="inlineStr">
        <is>
          <t>lab.store@jcb.com</t>
        </is>
      </c>
      <c r="H761" s="16" t="n"/>
    </row>
    <row r="762" ht="15" customHeight="1" s="13">
      <c r="A762" s="20" t="n">
        <v>46252</v>
      </c>
      <c r="B762" s="16" t="inlineStr">
        <is>
          <t>7210/0032</t>
        </is>
      </c>
      <c r="C762" s="16" t="inlineStr">
        <is>
          <t>RECEIPT</t>
        </is>
      </c>
      <c r="D762" s="16" t="n">
        <v>10</v>
      </c>
      <c r="E762" s="16" t="inlineStr">
        <is>
          <t>FOC_TE_25</t>
        </is>
      </c>
      <c r="F762" s="16" t="n"/>
      <c r="G762" s="16" t="inlineStr">
        <is>
          <t>lab.store@jcb.com</t>
        </is>
      </c>
      <c r="H762" s="16" t="n"/>
    </row>
    <row r="763" ht="15" customHeight="1" s="13">
      <c r="A763" s="20" t="n">
        <v>46252</v>
      </c>
      <c r="B763" s="16" t="inlineStr">
        <is>
          <t>7243/0714</t>
        </is>
      </c>
      <c r="C763" s="16" t="inlineStr">
        <is>
          <t>RECEIPT</t>
        </is>
      </c>
      <c r="D763" s="16" t="n">
        <v>10</v>
      </c>
      <c r="E763" s="16" t="inlineStr">
        <is>
          <t>FOC_TE_25</t>
        </is>
      </c>
      <c r="F763" s="16" t="n"/>
      <c r="G763" s="16" t="inlineStr">
        <is>
          <t>lab.store@jcb.com</t>
        </is>
      </c>
      <c r="H763" s="16" t="n"/>
    </row>
    <row r="764" ht="15" customHeight="1" s="13">
      <c r="A764" s="20" t="n">
        <v>46252</v>
      </c>
      <c r="B764" s="16" t="inlineStr">
        <is>
          <t>7201/0002</t>
        </is>
      </c>
      <c r="C764" s="16" t="inlineStr">
        <is>
          <t>ISSUE</t>
        </is>
      </c>
      <c r="D764" s="16" t="n">
        <v>54</v>
      </c>
      <c r="E764" s="16" t="inlineStr">
        <is>
          <t>HIST</t>
        </is>
      </c>
      <c r="F764" s="16" t="n"/>
      <c r="G764" s="16" t="inlineStr">
        <is>
          <t>lab.store@jcb.com</t>
        </is>
      </c>
      <c r="H764" s="16" t="inlineStr">
        <is>
          <t>Historic issue</t>
        </is>
      </c>
    </row>
    <row r="765" ht="15" customHeight="1" s="13">
      <c r="A765" s="20" t="n">
        <v>46252</v>
      </c>
      <c r="B765" s="16" t="inlineStr">
        <is>
          <t>7210/0240</t>
        </is>
      </c>
      <c r="C765" s="16" t="inlineStr">
        <is>
          <t>ISSUE</t>
        </is>
      </c>
      <c r="D765" s="16" t="n">
        <v>185</v>
      </c>
      <c r="E765" s="16" t="inlineStr">
        <is>
          <t>HIST</t>
        </is>
      </c>
      <c r="F765" s="16" t="n"/>
      <c r="G765" s="16" t="inlineStr">
        <is>
          <t>lab.store@jcb.com</t>
        </is>
      </c>
      <c r="H765" s="16" t="inlineStr">
        <is>
          <t>Historic issue</t>
        </is>
      </c>
    </row>
    <row r="766" ht="15" customHeight="1" s="13">
      <c r="A766" s="20" t="n">
        <v>46253</v>
      </c>
      <c r="B766" s="16" t="inlineStr">
        <is>
          <t>7201/0777</t>
        </is>
      </c>
      <c r="C766" s="16" t="inlineStr">
        <is>
          <t>ISSUE</t>
        </is>
      </c>
      <c r="D766" s="16" t="n">
        <v>74</v>
      </c>
      <c r="E766" s="16" t="inlineStr">
        <is>
          <t>HIST</t>
        </is>
      </c>
      <c r="F766" s="16" t="n"/>
      <c r="G766" s="16" t="inlineStr">
        <is>
          <t>lab.store@jcb.com</t>
        </is>
      </c>
      <c r="H766" s="16" t="inlineStr">
        <is>
          <t>Historic issue</t>
        </is>
      </c>
    </row>
    <row r="767" ht="15" customHeight="1" s="13">
      <c r="A767" s="20" t="n">
        <v>46254</v>
      </c>
      <c r="B767" s="16" t="inlineStr">
        <is>
          <t>7207/1510</t>
        </is>
      </c>
      <c r="C767" s="16" t="inlineStr">
        <is>
          <t>ISSUE</t>
        </is>
      </c>
      <c r="D767" s="16" t="n">
        <v>21</v>
      </c>
      <c r="E767" s="16" t="inlineStr">
        <is>
          <t>HIST</t>
        </is>
      </c>
      <c r="F767" s="16" t="n"/>
      <c r="G767" s="16" t="inlineStr">
        <is>
          <t>lab.store@jcb.com</t>
        </is>
      </c>
      <c r="H767" s="16" t="inlineStr">
        <is>
          <t>Historic issue</t>
        </is>
      </c>
    </row>
    <row r="768" ht="15" customHeight="1" s="13">
      <c r="A768" s="20" t="n">
        <v>46254</v>
      </c>
      <c r="B768" s="16" t="inlineStr">
        <is>
          <t>716/30350</t>
        </is>
      </c>
      <c r="C768" s="16" t="inlineStr">
        <is>
          <t>ISSUE</t>
        </is>
      </c>
      <c r="D768" s="16" t="n">
        <v>11</v>
      </c>
      <c r="E768" s="16" t="inlineStr">
        <is>
          <t>HIST</t>
        </is>
      </c>
      <c r="F768" s="16" t="n"/>
      <c r="G768" s="16" t="inlineStr">
        <is>
          <t>lab.store@jcb.com</t>
        </is>
      </c>
      <c r="H768" s="16" t="inlineStr">
        <is>
          <t>Historic issue</t>
        </is>
      </c>
    </row>
    <row r="769" ht="15" customHeight="1" s="13">
      <c r="A769" s="20" t="n">
        <v>46255</v>
      </c>
      <c r="B769" s="16" t="inlineStr">
        <is>
          <t>7212/0029</t>
        </is>
      </c>
      <c r="C769" s="16" t="inlineStr">
        <is>
          <t>ISSUE</t>
        </is>
      </c>
      <c r="D769" s="16" t="n">
        <v>10</v>
      </c>
      <c r="E769" s="16" t="inlineStr">
        <is>
          <t>HIST</t>
        </is>
      </c>
      <c r="F769" s="16" t="n"/>
      <c r="G769" s="16" t="inlineStr">
        <is>
          <t>lab.store@jcb.com</t>
        </is>
      </c>
      <c r="H769" s="16" t="inlineStr">
        <is>
          <t>Historic issue</t>
        </is>
      </c>
    </row>
    <row r="770" ht="15" customHeight="1" s="13">
      <c r="A770" s="20" t="n">
        <v>46256</v>
      </c>
      <c r="B770" s="16" t="inlineStr">
        <is>
          <t>717/20129</t>
        </is>
      </c>
      <c r="C770" s="16" t="inlineStr">
        <is>
          <t>ISSUE</t>
        </is>
      </c>
      <c r="D770" s="16" t="n">
        <v>39</v>
      </c>
      <c r="E770" s="16" t="inlineStr">
        <is>
          <t>HIST</t>
        </is>
      </c>
      <c r="F770" s="16" t="n"/>
      <c r="G770" s="16" t="inlineStr">
        <is>
          <t>lab.store@jcb.com</t>
        </is>
      </c>
      <c r="H770" s="16" t="inlineStr">
        <is>
          <t>Historic issue</t>
        </is>
      </c>
    </row>
    <row r="771" ht="15" customHeight="1" s="13">
      <c r="A771" s="20" t="n">
        <v>46258</v>
      </c>
      <c r="B771" s="16" t="inlineStr">
        <is>
          <t>701/L4886</t>
        </is>
      </c>
      <c r="C771" s="16" t="inlineStr">
        <is>
          <t>ISSUE</t>
        </is>
      </c>
      <c r="D771" s="16" t="n">
        <v>1</v>
      </c>
      <c r="E771" s="16" t="inlineStr">
        <is>
          <t>HIST</t>
        </is>
      </c>
      <c r="F771" s="16" t="n"/>
      <c r="G771" s="16" t="inlineStr">
        <is>
          <t>lab.store@jcb.com</t>
        </is>
      </c>
      <c r="H771" s="16" t="inlineStr">
        <is>
          <t>Historic issue</t>
        </is>
      </c>
    </row>
    <row r="772" ht="15" customHeight="1" s="13">
      <c r="A772" s="20" t="n">
        <v>46260</v>
      </c>
      <c r="B772" s="16" t="inlineStr">
        <is>
          <t>P_SP_CABL_POL_141</t>
        </is>
      </c>
      <c r="C772" s="16" t="inlineStr">
        <is>
          <t>ISSUE</t>
        </is>
      </c>
      <c r="D772" s="16" t="n">
        <v>797</v>
      </c>
      <c r="E772" s="16" t="inlineStr">
        <is>
          <t>HIST</t>
        </is>
      </c>
      <c r="F772" s="16" t="n"/>
      <c r="G772" s="16" t="inlineStr">
        <is>
          <t>lab.store@jcb.com</t>
        </is>
      </c>
      <c r="H772" s="16" t="inlineStr">
        <is>
          <t>Historic issue</t>
        </is>
      </c>
    </row>
    <row r="773" ht="15" customHeight="1" s="13">
      <c r="A773" s="20" t="n">
        <v>46261</v>
      </c>
      <c r="B773" s="16" t="inlineStr">
        <is>
          <t>7213/0080</t>
        </is>
      </c>
      <c r="C773" s="16" t="inlineStr">
        <is>
          <t>ISSUE</t>
        </is>
      </c>
      <c r="D773" s="16" t="n">
        <v>14</v>
      </c>
      <c r="E773" s="16" t="inlineStr">
        <is>
          <t>HIST</t>
        </is>
      </c>
      <c r="F773" s="16" t="n"/>
      <c r="G773" s="16" t="inlineStr">
        <is>
          <t>lab.store@jcb.com</t>
        </is>
      </c>
      <c r="H773" s="16" t="inlineStr">
        <is>
          <t>Historic issue</t>
        </is>
      </c>
    </row>
    <row r="774" ht="15" customHeight="1" s="13">
      <c r="A774" s="20" t="n">
        <v>46261</v>
      </c>
      <c r="B774" s="16" t="inlineStr">
        <is>
          <t>7216/0059</t>
        </is>
      </c>
      <c r="C774" s="16" t="inlineStr">
        <is>
          <t>ISSUE</t>
        </is>
      </c>
      <c r="D774" s="16" t="n">
        <v>18</v>
      </c>
      <c r="E774" s="16" t="inlineStr">
        <is>
          <t>HIST</t>
        </is>
      </c>
      <c r="F774" s="16" t="n"/>
      <c r="G774" s="16" t="inlineStr">
        <is>
          <t>lab.store@jcb.com</t>
        </is>
      </c>
      <c r="H774" s="16" t="inlineStr">
        <is>
          <t>Historic issue</t>
        </is>
      </c>
    </row>
    <row r="775" ht="15" customHeight="1" s="13">
      <c r="A775" s="20" t="n">
        <v>46262</v>
      </c>
      <c r="B775" s="16" t="inlineStr">
        <is>
          <t>7212/0128</t>
        </is>
      </c>
      <c r="C775" s="16" t="inlineStr">
        <is>
          <t>ISSUE</t>
        </is>
      </c>
      <c r="D775" s="16" t="n">
        <v>18</v>
      </c>
      <c r="E775" s="16" t="inlineStr">
        <is>
          <t>HIST</t>
        </is>
      </c>
      <c r="F775" s="16" t="n"/>
      <c r="G775" s="16" t="inlineStr">
        <is>
          <t>lab.store@jcb.com</t>
        </is>
      </c>
      <c r="H775" s="16" t="inlineStr">
        <is>
          <t>Historic issue</t>
        </is>
      </c>
    </row>
    <row r="776" ht="15" customHeight="1" s="13">
      <c r="A776" s="20" t="n">
        <v>46262</v>
      </c>
      <c r="B776" s="16" t="inlineStr">
        <is>
          <t>701/L4880</t>
        </is>
      </c>
      <c r="C776" s="16" t="inlineStr">
        <is>
          <t>ISSUE</t>
        </is>
      </c>
      <c r="D776" s="16" t="n">
        <v>2</v>
      </c>
      <c r="E776" s="16" t="inlineStr">
        <is>
          <t>HIST</t>
        </is>
      </c>
      <c r="F776" s="16" t="n"/>
      <c r="G776" s="16" t="inlineStr">
        <is>
          <t>lab.store@jcb.com</t>
        </is>
      </c>
      <c r="H776" s="16" t="inlineStr">
        <is>
          <t>Historic issue</t>
        </is>
      </c>
    </row>
  </sheetData>
  <dataValidations count="1">
    <dataValidation sqref="C2:C1776" showDropDown="0" showInputMessage="0" showErrorMessage="0" allowBlank="0" type="list" errorStyle="stop" operator="between">
      <formula1>"RECEIPT,RETURN,ADJUST+,ISSUE,SCRAP,ADJUST-"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46" customWidth="1" style="12" min="2" max="2"/>
    <col width="8" customWidth="1" style="12" min="3" max="3"/>
    <col width="14" customWidth="1" style="12" min="4" max="4"/>
    <col width="12" customWidth="1" style="12" min="5" max="5"/>
    <col width="15" customWidth="1" style="12" min="6" max="7"/>
  </cols>
  <sheetData>
    <row r="1" ht="21.75" customHeight="1" s="13">
      <c r="A1" s="21" t="inlineStr">
        <is>
          <t>PartNo</t>
        </is>
      </c>
      <c r="B1" s="21" t="inlineStr">
        <is>
          <t>Description</t>
        </is>
      </c>
      <c r="C1" s="21" t="inlineStr">
        <is>
          <t>UOM</t>
        </is>
      </c>
      <c r="D1" s="21" t="inlineStr">
        <is>
          <t>Location</t>
        </is>
      </c>
      <c r="E1" s="21" t="inlineStr">
        <is>
          <t>OnHand</t>
        </is>
      </c>
      <c r="F1" s="21" t="inlineStr">
        <is>
          <t>ReorderRefQty</t>
        </is>
      </c>
      <c r="G1" s="21" t="inlineStr">
        <is>
          <t>Status</t>
        </is>
      </c>
    </row>
    <row r="2" ht="15" customHeight="1" s="13">
      <c r="A2" s="16" t="inlineStr">
        <is>
          <t>MC000RVT1CXX1SQ001</t>
        </is>
      </c>
      <c r="B2" s="16" t="inlineStr">
        <is>
          <t>Revine Tech-1 Sq mm-Cable black</t>
        </is>
      </c>
      <c r="C2" s="16" t="inlineStr">
        <is>
          <t>M</t>
        </is>
      </c>
      <c r="D2" s="16" t="n"/>
      <c r="E2" s="22">
        <f>SUMIFS(Movements!$D$2:$D$20000,Movements!$B$2:$B$20000,$A2,Movements!$C$2:$C$20000,"RECEIPT")+SUMIFS(Movements!$D$2:$D$20000,Movements!$B$2:$B$20000,$A2,Movements!$C$2:$C$20000,"RETURN")+SUMIFS(Movements!$D$2:$D$20000,Movements!$B$2:$B$20000,$A2,Movements!$C$2:$C$20000,"ADJUST+")-SUMIFS(Movements!$D$2:$D$20000,Movements!$B$2:$B$20000,$A2,Movements!$C$2:$C$20000,"ISSUE")-SUMIFS(Movements!$D$2:$D$20000,Movements!$B$2:$B$20000,$A2,Movements!$C$2:$C$20000,"SCRAP")-SUMIFS(Movements!$D$2:$D$20000,Movements!$B$2:$B$20000,$A2,Movements!$C$2:$C$20000,"ADJUST-")</f>
        <v/>
      </c>
      <c r="F2" s="16" t="n">
        <v>50</v>
      </c>
      <c r="G2" s="23">
        <f>IF($E2&lt;=0,"OUT OF STOCK",IF(AND($F2&gt;0,$E2&lt;=$F2*0.2),"LOW STOCK","IN STOCK"))</f>
        <v/>
      </c>
    </row>
    <row r="3" ht="15" customHeight="1" s="13">
      <c r="A3" s="16" t="inlineStr">
        <is>
          <t>MC000RVT1CXX1SQ002</t>
        </is>
      </c>
      <c r="B3" s="16" t="inlineStr">
        <is>
          <t>Revine Tech-1 Sq mm-Cable BLUE</t>
        </is>
      </c>
      <c r="C3" s="16" t="inlineStr">
        <is>
          <t>M</t>
        </is>
      </c>
      <c r="D3" s="16" t="n"/>
      <c r="E3" s="22">
        <f>SUMIFS(Movements!$D$2:$D$20000,Movements!$B$2:$B$20000,$A3,Movements!$C$2:$C$20000,"RECEIPT")+SUMIFS(Movements!$D$2:$D$20000,Movements!$B$2:$B$20000,$A3,Movements!$C$2:$C$20000,"RETURN")+SUMIFS(Movements!$D$2:$D$20000,Movements!$B$2:$B$20000,$A3,Movements!$C$2:$C$20000,"ADJUST+")-SUMIFS(Movements!$D$2:$D$20000,Movements!$B$2:$B$20000,$A3,Movements!$C$2:$C$20000,"ISSUE")-SUMIFS(Movements!$D$2:$D$20000,Movements!$B$2:$B$20000,$A3,Movements!$C$2:$C$20000,"SCRAP")-SUMIFS(Movements!$D$2:$D$20000,Movements!$B$2:$B$20000,$A3,Movements!$C$2:$C$20000,"ADJUST-")</f>
        <v/>
      </c>
      <c r="F3" s="16" t="n">
        <v>50</v>
      </c>
      <c r="G3" s="23">
        <f>IF($E3&lt;=0,"OUT OF STOCK",IF(AND($F3&gt;0,$E3&lt;=$F3*0.2),"LOW STOCK","IN STOCK"))</f>
        <v/>
      </c>
    </row>
    <row r="4" ht="15" customHeight="1" s="13">
      <c r="A4" s="16" t="inlineStr">
        <is>
          <t>MC000RVT1CXX1SQ003</t>
        </is>
      </c>
      <c r="B4" s="16" t="inlineStr">
        <is>
          <t>Revine Tech-1 Sq mm-Cable RED 1</t>
        </is>
      </c>
      <c r="C4" s="16" t="inlineStr">
        <is>
          <t>M</t>
        </is>
      </c>
      <c r="D4" s="16" t="n"/>
      <c r="E4" s="22">
        <f>SUMIFS(Movements!$D$2:$D$20000,Movements!$B$2:$B$20000,$A4,Movements!$C$2:$C$20000,"RECEIPT")+SUMIFS(Movements!$D$2:$D$20000,Movements!$B$2:$B$20000,$A4,Movements!$C$2:$C$20000,"RETURN")+SUMIFS(Movements!$D$2:$D$20000,Movements!$B$2:$B$20000,$A4,Movements!$C$2:$C$20000,"ADJUST+")-SUMIFS(Movements!$D$2:$D$20000,Movements!$B$2:$B$20000,$A4,Movements!$C$2:$C$20000,"ISSUE")-SUMIFS(Movements!$D$2:$D$20000,Movements!$B$2:$B$20000,$A4,Movements!$C$2:$C$20000,"SCRAP")-SUMIFS(Movements!$D$2:$D$20000,Movements!$B$2:$B$20000,$A4,Movements!$C$2:$C$20000,"ADJUST-")</f>
        <v/>
      </c>
      <c r="F4" s="16" t="n">
        <v>50</v>
      </c>
      <c r="G4" s="23">
        <f>IF($E4&lt;=0,"OUT OF STOCK",IF(AND($F4&gt;0,$E4&lt;=$F4*0.2),"LOW STOCK","IN STOCK"))</f>
        <v/>
      </c>
    </row>
    <row r="5" ht="15" customHeight="1" s="13">
      <c r="A5" s="16" t="inlineStr">
        <is>
          <t>MC000RVT1CXX1SQ004</t>
        </is>
      </c>
      <c r="B5" s="16" t="inlineStr">
        <is>
          <t>Revine Tech-1 Sq mm-Cable</t>
        </is>
      </c>
      <c r="C5" s="16" t="inlineStr">
        <is>
          <t>M</t>
        </is>
      </c>
      <c r="D5" s="16" t="n"/>
      <c r="E5" s="22">
        <f>SUMIFS(Movements!$D$2:$D$20000,Movements!$B$2:$B$20000,$A5,Movements!$C$2:$C$20000,"RECEIPT")+SUMIFS(Movements!$D$2:$D$20000,Movements!$B$2:$B$20000,$A5,Movements!$C$2:$C$20000,"RETURN")+SUMIFS(Movements!$D$2:$D$20000,Movements!$B$2:$B$20000,$A5,Movements!$C$2:$C$20000,"ADJUST+")-SUMIFS(Movements!$D$2:$D$20000,Movements!$B$2:$B$20000,$A5,Movements!$C$2:$C$20000,"ISSUE")-SUMIFS(Movements!$D$2:$D$20000,Movements!$B$2:$B$20000,$A5,Movements!$C$2:$C$20000,"SCRAP")-SUMIFS(Movements!$D$2:$D$20000,Movements!$B$2:$B$20000,$A5,Movements!$C$2:$C$20000,"ADJUST-")</f>
        <v/>
      </c>
      <c r="F5" s="16" t="n">
        <v>50</v>
      </c>
      <c r="G5" s="23">
        <f>IF($E5&lt;=0,"OUT OF STOCK",IF(AND($F5&gt;0,$E5&lt;=$F5*0.2),"LOW STOCK","IN STOCK"))</f>
        <v/>
      </c>
    </row>
    <row r="6" ht="15" customHeight="1" s="13">
      <c r="A6" s="16" t="inlineStr">
        <is>
          <t>P_CON_GEN_ASLY_002</t>
        </is>
      </c>
      <c r="B6" s="16" t="inlineStr">
        <is>
          <t>INSULATION TAPE</t>
        </is>
      </c>
      <c r="C6" s="16" t="inlineStr">
        <is>
          <t>NO</t>
        </is>
      </c>
      <c r="D6" s="16" t="inlineStr">
        <is>
          <t>UTILITY AREA</t>
        </is>
      </c>
      <c r="E6" s="22">
        <f>SUMIFS(Movements!$D$2:$D$20000,Movements!$B$2:$B$20000,$A6,Movements!$C$2:$C$20000,"RECEIPT")+SUMIFS(Movements!$D$2:$D$20000,Movements!$B$2:$B$20000,$A6,Movements!$C$2:$C$20000,"RETURN")+SUMIFS(Movements!$D$2:$D$20000,Movements!$B$2:$B$20000,$A6,Movements!$C$2:$C$20000,"ADJUST+")-SUMIFS(Movements!$D$2:$D$20000,Movements!$B$2:$B$20000,$A6,Movements!$C$2:$C$20000,"ISSUE")-SUMIFS(Movements!$D$2:$D$20000,Movements!$B$2:$B$20000,$A6,Movements!$C$2:$C$20000,"SCRAP")-SUMIFS(Movements!$D$2:$D$20000,Movements!$B$2:$B$20000,$A6,Movements!$C$2:$C$20000,"ADJUST-")</f>
        <v/>
      </c>
      <c r="F6" s="16" t="n">
        <v>800</v>
      </c>
      <c r="G6" s="23">
        <f>IF($E6&lt;=0,"OUT OF STOCK",IF(AND($F6&gt;0,$E6&lt;=$F6*0.2),"LOW STOCK","IN STOCK"))</f>
        <v/>
      </c>
    </row>
    <row r="7" ht="15" customHeight="1" s="13">
      <c r="A7" s="16" t="inlineStr">
        <is>
          <t>MC000SWRDTSPXXX001</t>
        </is>
      </c>
      <c r="B7" s="16" t="inlineStr">
        <is>
          <t>Solder Wire-Duratool-SPC22129</t>
        </is>
      </c>
      <c r="C7" s="16" t="inlineStr">
        <is>
          <t>NO</t>
        </is>
      </c>
      <c r="D7" s="16" t="n"/>
      <c r="E7" s="22">
        <f>SUMIFS(Movements!$D$2:$D$20000,Movements!$B$2:$B$20000,$A7,Movements!$C$2:$C$20000,"RECEIPT")+SUMIFS(Movements!$D$2:$D$20000,Movements!$B$2:$B$20000,$A7,Movements!$C$2:$C$20000,"RETURN")+SUMIFS(Movements!$D$2:$D$20000,Movements!$B$2:$B$20000,$A7,Movements!$C$2:$C$20000,"ADJUST+")-SUMIFS(Movements!$D$2:$D$20000,Movements!$B$2:$B$20000,$A7,Movements!$C$2:$C$20000,"ISSUE")-SUMIFS(Movements!$D$2:$D$20000,Movements!$B$2:$B$20000,$A7,Movements!$C$2:$C$20000,"SCRAP")-SUMIFS(Movements!$D$2:$D$20000,Movements!$B$2:$B$20000,$A7,Movements!$C$2:$C$20000,"ADJUST-")</f>
        <v/>
      </c>
      <c r="F7" s="16" t="n">
        <v>5</v>
      </c>
      <c r="G7" s="23">
        <f>IF($E7&lt;=0,"OUT OF STOCK",IF(AND($F7&gt;0,$E7&lt;=$F7*0.2),"LOW STOCK","IN STOCK"))</f>
        <v/>
      </c>
    </row>
    <row r="8" ht="15" customHeight="1" s="13">
      <c r="A8" s="16" t="inlineStr">
        <is>
          <t>MC000SFLRVRSXXX001</t>
        </is>
      </c>
      <c r="B8" s="16" t="inlineStr">
        <is>
          <t>Soldering Flux-Revine</t>
        </is>
      </c>
      <c r="C8" s="16" t="inlineStr">
        <is>
          <t>NO</t>
        </is>
      </c>
      <c r="D8" s="16" t="n"/>
      <c r="E8" s="22">
        <f>SUMIFS(Movements!$D$2:$D$20000,Movements!$B$2:$B$20000,$A8,Movements!$C$2:$C$20000,"RECEIPT")+SUMIFS(Movements!$D$2:$D$20000,Movements!$B$2:$B$20000,$A8,Movements!$C$2:$C$20000,"RETURN")+SUMIFS(Movements!$D$2:$D$20000,Movements!$B$2:$B$20000,$A8,Movements!$C$2:$C$20000,"ADJUST+")-SUMIFS(Movements!$D$2:$D$20000,Movements!$B$2:$B$20000,$A8,Movements!$C$2:$C$20000,"ISSUE")-SUMIFS(Movements!$D$2:$D$20000,Movements!$B$2:$B$20000,$A8,Movements!$C$2:$C$20000,"SCRAP")-SUMIFS(Movements!$D$2:$D$20000,Movements!$B$2:$B$20000,$A8,Movements!$C$2:$C$20000,"ADJUST-")</f>
        <v/>
      </c>
      <c r="F8" s="16" t="n">
        <v>10</v>
      </c>
      <c r="G8" s="23">
        <f>IF($E8&lt;=0,"OUT OF STOCK",IF(AND($F8&gt;0,$E8&lt;=$F8*0.2),"LOW STOCK","IN STOCK"))</f>
        <v/>
      </c>
    </row>
    <row r="9" ht="15" customHeight="1" s="13">
      <c r="A9" s="16" t="inlineStr">
        <is>
          <t>MC000IPCFLFLXXX001</t>
        </is>
      </c>
      <c r="B9" s="16" t="inlineStr">
        <is>
          <t>Insulation Pierc Cli-Fluke-FLK-TP82</t>
        </is>
      </c>
      <c r="C9" s="16" t="inlineStr">
        <is>
          <t>NO</t>
        </is>
      </c>
      <c r="D9" s="16" t="n"/>
      <c r="E9" s="22">
        <f>SUMIFS(Movements!$D$2:$D$20000,Movements!$B$2:$B$20000,$A9,Movements!$C$2:$C$20000,"RECEIPT")+SUMIFS(Movements!$D$2:$D$20000,Movements!$B$2:$B$20000,$A9,Movements!$C$2:$C$20000,"RETURN")+SUMIFS(Movements!$D$2:$D$20000,Movements!$B$2:$B$20000,$A9,Movements!$C$2:$C$20000,"ADJUST+")-SUMIFS(Movements!$D$2:$D$20000,Movements!$B$2:$B$20000,$A9,Movements!$C$2:$C$20000,"ISSUE")-SUMIFS(Movements!$D$2:$D$20000,Movements!$B$2:$B$20000,$A9,Movements!$C$2:$C$20000,"SCRAP")-SUMIFS(Movements!$D$2:$D$20000,Movements!$B$2:$B$20000,$A9,Movements!$C$2:$C$20000,"ADJUST-")</f>
        <v/>
      </c>
      <c r="F9" s="16" t="n">
        <v>2</v>
      </c>
      <c r="G9" s="23">
        <f>IF($E9&lt;=0,"OUT OF STOCK",IF(AND($F9&gt;0,$E9&lt;=$F9*0.2),"LOW STOCK","IN STOCK"))</f>
        <v/>
      </c>
    </row>
    <row r="10" ht="15" customHeight="1" s="13">
      <c r="A10" s="16" t="inlineStr">
        <is>
          <t>MC000TCNRVSTXXX001</t>
        </is>
      </c>
      <c r="B10" s="16" t="inlineStr">
        <is>
          <t>Terminal Connector-Revine</t>
        </is>
      </c>
      <c r="C10" s="16" t="inlineStr">
        <is>
          <t>NO</t>
        </is>
      </c>
      <c r="D10" s="16" t="n"/>
      <c r="E10" s="22">
        <f>SUMIFS(Movements!$D$2:$D$20000,Movements!$B$2:$B$20000,$A10,Movements!$C$2:$C$20000,"RECEIPT")+SUMIFS(Movements!$D$2:$D$20000,Movements!$B$2:$B$20000,$A10,Movements!$C$2:$C$20000,"RETURN")+SUMIFS(Movements!$D$2:$D$20000,Movements!$B$2:$B$20000,$A10,Movements!$C$2:$C$20000,"ADJUST+")-SUMIFS(Movements!$D$2:$D$20000,Movements!$B$2:$B$20000,$A10,Movements!$C$2:$C$20000,"ISSUE")-SUMIFS(Movements!$D$2:$D$20000,Movements!$B$2:$B$20000,$A10,Movements!$C$2:$C$20000,"SCRAP")-SUMIFS(Movements!$D$2:$D$20000,Movements!$B$2:$B$20000,$A10,Movements!$C$2:$C$20000,"ADJUST-")</f>
        <v/>
      </c>
      <c r="F10" s="16" t="n">
        <v>100</v>
      </c>
      <c r="G10" s="23">
        <f>IF($E10&lt;=0,"OUT OF STOCK",IF(AND($F10&gt;0,$E10&lt;=$F10*0.2),"LOW STOCK","IN STOCK"))</f>
        <v/>
      </c>
    </row>
    <row r="11" ht="15" customHeight="1" s="13">
      <c r="A11" s="16" t="inlineStr">
        <is>
          <t>MC000RVT1CXX2SQ001</t>
        </is>
      </c>
      <c r="B11" s="16" t="inlineStr">
        <is>
          <t>Revine Tech-1sqmm,2 sqm HST</t>
        </is>
      </c>
      <c r="C11" s="16" t="inlineStr">
        <is>
          <t>M</t>
        </is>
      </c>
      <c r="D11" s="16" t="n"/>
      <c r="E11" s="22">
        <f>SUMIFS(Movements!$D$2:$D$20000,Movements!$B$2:$B$20000,$A11,Movements!$C$2:$C$20000,"RECEIPT")+SUMIFS(Movements!$D$2:$D$20000,Movements!$B$2:$B$20000,$A11,Movements!$C$2:$C$20000,"RETURN")+SUMIFS(Movements!$D$2:$D$20000,Movements!$B$2:$B$20000,$A11,Movements!$C$2:$C$20000,"ADJUST+")-SUMIFS(Movements!$D$2:$D$20000,Movements!$B$2:$B$20000,$A11,Movements!$C$2:$C$20000,"ISSUE")-SUMIFS(Movements!$D$2:$D$20000,Movements!$B$2:$B$20000,$A11,Movements!$C$2:$C$20000,"SCRAP")-SUMIFS(Movements!$D$2:$D$20000,Movements!$B$2:$B$20000,$A11,Movements!$C$2:$C$20000,"ADJUST-")</f>
        <v/>
      </c>
      <c r="F11" s="16" t="n">
        <v>5</v>
      </c>
      <c r="G11" s="23">
        <f>IF($E11&lt;=0,"OUT OF STOCK",IF(AND($F11&gt;0,$E11&lt;=$F11*0.2),"LOW STOCK","IN STOCK"))</f>
        <v/>
      </c>
    </row>
    <row r="12" ht="15" customHeight="1" s="13">
      <c r="A12" s="16" t="inlineStr">
        <is>
          <t>MC000RVTXXJCXX001</t>
        </is>
      </c>
      <c r="B12" s="16" t="inlineStr">
        <is>
          <t>Revine Tech JUMPER CABLE M TO</t>
        </is>
      </c>
      <c r="C12" s="16" t="inlineStr">
        <is>
          <t>M</t>
        </is>
      </c>
      <c r="D12" s="16" t="n"/>
      <c r="E12" s="22">
        <f>SUMIFS(Movements!$D$2:$D$20000,Movements!$B$2:$B$20000,$A12,Movements!$C$2:$C$20000,"RECEIPT")+SUMIFS(Movements!$D$2:$D$20000,Movements!$B$2:$B$20000,$A12,Movements!$C$2:$C$20000,"RETURN")+SUMIFS(Movements!$D$2:$D$20000,Movements!$B$2:$B$20000,$A12,Movements!$C$2:$C$20000,"ADJUST+")-SUMIFS(Movements!$D$2:$D$20000,Movements!$B$2:$B$20000,$A12,Movements!$C$2:$C$20000,"ISSUE")-SUMIFS(Movements!$D$2:$D$20000,Movements!$B$2:$B$20000,$A12,Movements!$C$2:$C$20000,"SCRAP")-SUMIFS(Movements!$D$2:$D$20000,Movements!$B$2:$B$20000,$A12,Movements!$C$2:$C$20000,"ADJUST-")</f>
        <v/>
      </c>
      <c r="F12" s="16" t="n">
        <v>100</v>
      </c>
      <c r="G12" s="23">
        <f>IF($E12&lt;=0,"OUT OF STOCK",IF(AND($F12&gt;0,$E12&lt;=$F12*0.2),"LOW STOCK","IN STOCK"))</f>
        <v/>
      </c>
    </row>
    <row r="13" ht="15" customHeight="1" s="13">
      <c r="A13" s="16" t="inlineStr">
        <is>
          <t>MC000RVTXXJCXX002</t>
        </is>
      </c>
      <c r="B13" s="16" t="inlineStr">
        <is>
          <t>Revine Tech---Jumper Cable- M TO F</t>
        </is>
      </c>
      <c r="C13" s="16" t="inlineStr">
        <is>
          <t>M</t>
        </is>
      </c>
      <c r="D13" s="16" t="n"/>
      <c r="E13" s="22">
        <f>SUMIFS(Movements!$D$2:$D$20000,Movements!$B$2:$B$20000,$A13,Movements!$C$2:$C$20000,"RECEIPT")+SUMIFS(Movements!$D$2:$D$20000,Movements!$B$2:$B$20000,$A13,Movements!$C$2:$C$20000,"RETURN")+SUMIFS(Movements!$D$2:$D$20000,Movements!$B$2:$B$20000,$A13,Movements!$C$2:$C$20000,"ADJUST+")-SUMIFS(Movements!$D$2:$D$20000,Movements!$B$2:$B$20000,$A13,Movements!$C$2:$C$20000,"ISSUE")-SUMIFS(Movements!$D$2:$D$20000,Movements!$B$2:$B$20000,$A13,Movements!$C$2:$C$20000,"SCRAP")-SUMIFS(Movements!$D$2:$D$20000,Movements!$B$2:$B$20000,$A13,Movements!$C$2:$C$20000,"ADJUST-")</f>
        <v/>
      </c>
      <c r="F13" s="16" t="n">
        <v>100</v>
      </c>
      <c r="G13" s="23">
        <f>IF($E13&lt;=0,"OUT OF STOCK",IF(AND($F13&gt;0,$E13&lt;=$F13*0.2),"LOW STOCK","IN STOCK"))</f>
        <v/>
      </c>
    </row>
    <row r="14" ht="15" customHeight="1" s="13">
      <c r="A14" s="16" t="inlineStr">
        <is>
          <t>MC000RVTXXJCXX003</t>
        </is>
      </c>
      <c r="B14" s="16" t="inlineStr">
        <is>
          <t>Revine Tech-Jumper Cable--F TO F</t>
        </is>
      </c>
      <c r="C14" s="16" t="inlineStr">
        <is>
          <t>M</t>
        </is>
      </c>
      <c r="D14" s="16" t="n"/>
      <c r="E14" s="22">
        <f>SUMIFS(Movements!$D$2:$D$20000,Movements!$B$2:$B$20000,$A14,Movements!$C$2:$C$20000,"RECEIPT")+SUMIFS(Movements!$D$2:$D$20000,Movements!$B$2:$B$20000,$A14,Movements!$C$2:$C$20000,"RETURN")+SUMIFS(Movements!$D$2:$D$20000,Movements!$B$2:$B$20000,$A14,Movements!$C$2:$C$20000,"ADJUST+")-SUMIFS(Movements!$D$2:$D$20000,Movements!$B$2:$B$20000,$A14,Movements!$C$2:$C$20000,"ISSUE")-SUMIFS(Movements!$D$2:$D$20000,Movements!$B$2:$B$20000,$A14,Movements!$C$2:$C$20000,"SCRAP")-SUMIFS(Movements!$D$2:$D$20000,Movements!$B$2:$B$20000,$A14,Movements!$C$2:$C$20000,"ADJUST-")</f>
        <v/>
      </c>
      <c r="F14" s="16" t="n">
        <v>100</v>
      </c>
      <c r="G14" s="23">
        <f>IF($E14&lt;=0,"OUT OF STOCK",IF(AND($F14&gt;0,$E14&lt;=$F14*0.2),"LOW STOCK","IN STOCK"))</f>
        <v/>
      </c>
    </row>
    <row r="15" ht="15" customHeight="1" s="13">
      <c r="A15" s="16" t="inlineStr">
        <is>
          <t>MC000CBLRVXXXXX001</t>
        </is>
      </c>
      <c r="B15" s="16" t="inlineStr">
        <is>
          <t>Cable Label-Revine Tech 240 PCS</t>
        </is>
      </c>
      <c r="C15" s="16" t="inlineStr">
        <is>
          <t>NO</t>
        </is>
      </c>
      <c r="D15" s="16" t="n"/>
      <c r="E15" s="22">
        <f>SUMIFS(Movements!$D$2:$D$20000,Movements!$B$2:$B$20000,$A15,Movements!$C$2:$C$20000,"RECEIPT")+SUMIFS(Movements!$D$2:$D$20000,Movements!$B$2:$B$20000,$A15,Movements!$C$2:$C$20000,"RETURN")+SUMIFS(Movements!$D$2:$D$20000,Movements!$B$2:$B$20000,$A15,Movements!$C$2:$C$20000,"ADJUST+")-SUMIFS(Movements!$D$2:$D$20000,Movements!$B$2:$B$20000,$A15,Movements!$C$2:$C$20000,"ISSUE")-SUMIFS(Movements!$D$2:$D$20000,Movements!$B$2:$B$20000,$A15,Movements!$C$2:$C$20000,"SCRAP")-SUMIFS(Movements!$D$2:$D$20000,Movements!$B$2:$B$20000,$A15,Movements!$C$2:$C$20000,"ADJUST-")</f>
        <v/>
      </c>
      <c r="F15" s="16" t="n">
        <v>1</v>
      </c>
      <c r="G15" s="23">
        <f>IF($E15&lt;=0,"OUT OF STOCK",IF(AND($F15&gt;0,$E15&lt;=$F15*0.2),"LOW STOCK","IN STOCK"))</f>
        <v/>
      </c>
    </row>
    <row r="16" ht="15" customHeight="1" s="13">
      <c r="A16" s="16" t="inlineStr">
        <is>
          <t>M2000A06SC04AA0001</t>
        </is>
      </c>
      <c r="B16" s="16" t="inlineStr">
        <is>
          <t>MISCE STO SCOP BLAC 700 STORAGE BOX</t>
        </is>
      </c>
      <c r="C16" s="16" t="inlineStr">
        <is>
          <t>NO</t>
        </is>
      </c>
      <c r="D16" s="16" t="n"/>
      <c r="E16" s="22">
        <f>SUMIFS(Movements!$D$2:$D$20000,Movements!$B$2:$B$20000,$A16,Movements!$C$2:$C$20000,"RECEIPT")+SUMIFS(Movements!$D$2:$D$20000,Movements!$B$2:$B$20000,$A16,Movements!$C$2:$C$20000,"RETURN")+SUMIFS(Movements!$D$2:$D$20000,Movements!$B$2:$B$20000,$A16,Movements!$C$2:$C$20000,"ADJUST+")-SUMIFS(Movements!$D$2:$D$20000,Movements!$B$2:$B$20000,$A16,Movements!$C$2:$C$20000,"ISSUE")-SUMIFS(Movements!$D$2:$D$20000,Movements!$B$2:$B$20000,$A16,Movements!$C$2:$C$20000,"SCRAP")-SUMIFS(Movements!$D$2:$D$20000,Movements!$B$2:$B$20000,$A16,Movements!$C$2:$C$20000,"ADJUST-")</f>
        <v/>
      </c>
      <c r="F16" s="16" t="n">
        <v>1</v>
      </c>
      <c r="G16" s="23">
        <f>IF($E16&lt;=0,"OUT OF STOCK",IF(AND($F16&gt;0,$E16&lt;=$F16*0.2),"LOW STOCK","IN STOCK"))</f>
        <v/>
      </c>
    </row>
    <row r="17" ht="15" customHeight="1" s="13">
      <c r="A17" s="16" t="inlineStr">
        <is>
          <t>MC00001A1XXXXX001</t>
        </is>
      </c>
      <c r="B17" s="16" t="inlineStr">
        <is>
          <t>WIRE CLA 0.5 - - WIRE - 0.5 SQ.MM</t>
        </is>
      </c>
      <c r="C17" s="16" t="inlineStr">
        <is>
          <t>M</t>
        </is>
      </c>
      <c r="D17" s="16" t="n"/>
      <c r="E17" s="22">
        <f>SUMIFS(Movements!$D$2:$D$20000,Movements!$B$2:$B$20000,$A17,Movements!$C$2:$C$20000,"RECEIPT")+SUMIFS(Movements!$D$2:$D$20000,Movements!$B$2:$B$20000,$A17,Movements!$C$2:$C$20000,"RETURN")+SUMIFS(Movements!$D$2:$D$20000,Movements!$B$2:$B$20000,$A17,Movements!$C$2:$C$20000,"ADJUST+")-SUMIFS(Movements!$D$2:$D$20000,Movements!$B$2:$B$20000,$A17,Movements!$C$2:$C$20000,"ISSUE")-SUMIFS(Movements!$D$2:$D$20000,Movements!$B$2:$B$20000,$A17,Movements!$C$2:$C$20000,"SCRAP")-SUMIFS(Movements!$D$2:$D$20000,Movements!$B$2:$B$20000,$A17,Movements!$C$2:$C$20000,"ADJUST-")</f>
        <v/>
      </c>
      <c r="F17" s="16" t="n">
        <v>2000</v>
      </c>
      <c r="G17" s="23">
        <f>IF($E17&lt;=0,"OUT OF STOCK",IF(AND($F17&gt;0,$E17&lt;=$F17*0.2),"LOW STOCK","IN STOCK"))</f>
        <v/>
      </c>
    </row>
    <row r="18" ht="15" customHeight="1" s="13">
      <c r="A18" s="16" t="inlineStr">
        <is>
          <t>MC00001A2XXXXX001</t>
        </is>
      </c>
      <c r="B18" s="16" t="inlineStr">
        <is>
          <t>WIRE CLA 0.75 - - WIRE - 0.75 SQ.MM</t>
        </is>
      </c>
      <c r="C18" s="16" t="inlineStr">
        <is>
          <t>M</t>
        </is>
      </c>
      <c r="D18" s="16" t="n"/>
      <c r="E18" s="22">
        <f>SUMIFS(Movements!$D$2:$D$20000,Movements!$B$2:$B$20000,$A18,Movements!$C$2:$C$20000,"RECEIPT")+SUMIFS(Movements!$D$2:$D$20000,Movements!$B$2:$B$20000,$A18,Movements!$C$2:$C$20000,"RETURN")+SUMIFS(Movements!$D$2:$D$20000,Movements!$B$2:$B$20000,$A18,Movements!$C$2:$C$20000,"ADJUST+")-SUMIFS(Movements!$D$2:$D$20000,Movements!$B$2:$B$20000,$A18,Movements!$C$2:$C$20000,"ISSUE")-SUMIFS(Movements!$D$2:$D$20000,Movements!$B$2:$B$20000,$A18,Movements!$C$2:$C$20000,"SCRAP")-SUMIFS(Movements!$D$2:$D$20000,Movements!$B$2:$B$20000,$A18,Movements!$C$2:$C$20000,"ADJUST-")</f>
        <v/>
      </c>
      <c r="F18" s="16" t="n">
        <v>2000</v>
      </c>
      <c r="G18" s="23">
        <f>IF($E18&lt;=0,"OUT OF STOCK",IF(AND($F18&gt;0,$E18&lt;=$F18*0.2),"LOW STOCK","IN STOCK"))</f>
        <v/>
      </c>
    </row>
    <row r="19" ht="15" customHeight="1" s="13">
      <c r="A19" s="16" t="inlineStr">
        <is>
          <t>MC00001A3XXXXX001</t>
        </is>
      </c>
      <c r="B19" s="16" t="inlineStr">
        <is>
          <t>WIRE CLA 1 SQ - - WIRE - 1 SQ.MM</t>
        </is>
      </c>
      <c r="C19" s="16" t="inlineStr">
        <is>
          <t>M</t>
        </is>
      </c>
      <c r="D19" s="16" t="n"/>
      <c r="E19" s="22">
        <f>SUMIFS(Movements!$D$2:$D$20000,Movements!$B$2:$B$20000,$A19,Movements!$C$2:$C$20000,"RECEIPT")+SUMIFS(Movements!$D$2:$D$20000,Movements!$B$2:$B$20000,$A19,Movements!$C$2:$C$20000,"RETURN")+SUMIFS(Movements!$D$2:$D$20000,Movements!$B$2:$B$20000,$A19,Movements!$C$2:$C$20000,"ADJUST+")-SUMIFS(Movements!$D$2:$D$20000,Movements!$B$2:$B$20000,$A19,Movements!$C$2:$C$20000,"ISSUE")-SUMIFS(Movements!$D$2:$D$20000,Movements!$B$2:$B$20000,$A19,Movements!$C$2:$C$20000,"SCRAP")-SUMIFS(Movements!$D$2:$D$20000,Movements!$B$2:$B$20000,$A19,Movements!$C$2:$C$20000,"ADJUST-")</f>
        <v/>
      </c>
      <c r="F19" s="16" t="n">
        <v>2000</v>
      </c>
      <c r="G19" s="23">
        <f>IF($E19&lt;=0,"OUT OF STOCK",IF(AND($F19&gt;0,$E19&lt;=$F19*0.2),"LOW STOCK","IN STOCK"))</f>
        <v/>
      </c>
    </row>
    <row r="20" ht="15" customHeight="1" s="13">
      <c r="A20" s="16" t="inlineStr">
        <is>
          <t>MC00001A4XXXXX001</t>
        </is>
      </c>
      <c r="B20" s="16" t="inlineStr">
        <is>
          <t>WIRE CLA 1.5 - - WIRE- 1.5 SQ.MM</t>
        </is>
      </c>
      <c r="C20" s="16" t="inlineStr">
        <is>
          <t>M</t>
        </is>
      </c>
      <c r="D20" s="16" t="n"/>
      <c r="E20" s="22">
        <f>SUMIFS(Movements!$D$2:$D$20000,Movements!$B$2:$B$20000,$A20,Movements!$C$2:$C$20000,"RECEIPT")+SUMIFS(Movements!$D$2:$D$20000,Movements!$B$2:$B$20000,$A20,Movements!$C$2:$C$20000,"RETURN")+SUMIFS(Movements!$D$2:$D$20000,Movements!$B$2:$B$20000,$A20,Movements!$C$2:$C$20000,"ADJUST+")-SUMIFS(Movements!$D$2:$D$20000,Movements!$B$2:$B$20000,$A20,Movements!$C$2:$C$20000,"ISSUE")-SUMIFS(Movements!$D$2:$D$20000,Movements!$B$2:$B$20000,$A20,Movements!$C$2:$C$20000,"SCRAP")-SUMIFS(Movements!$D$2:$D$20000,Movements!$B$2:$B$20000,$A20,Movements!$C$2:$C$20000,"ADJUST-")</f>
        <v/>
      </c>
      <c r="F20" s="16" t="n">
        <v>2000</v>
      </c>
      <c r="G20" s="23">
        <f>IF($E20&lt;=0,"OUT OF STOCK",IF(AND($F20&gt;0,$E20&lt;=$F20*0.2),"LOW STOCK","IN STOCK"))</f>
        <v/>
      </c>
    </row>
    <row r="21" ht="15" customHeight="1" s="13">
      <c r="A21" s="16" t="inlineStr">
        <is>
          <t>MC00001A5XXXXX001</t>
        </is>
      </c>
      <c r="B21" s="16" t="inlineStr">
        <is>
          <t>WIRE CLA 2 SQ - - WIRE- 2 SQ.MM</t>
        </is>
      </c>
      <c r="C21" s="16" t="inlineStr">
        <is>
          <t>M</t>
        </is>
      </c>
      <c r="D21" s="16" t="n"/>
      <c r="E21" s="22">
        <f>SUMIFS(Movements!$D$2:$D$20000,Movements!$B$2:$B$20000,$A21,Movements!$C$2:$C$20000,"RECEIPT")+SUMIFS(Movements!$D$2:$D$20000,Movements!$B$2:$B$20000,$A21,Movements!$C$2:$C$20000,"RETURN")+SUMIFS(Movements!$D$2:$D$20000,Movements!$B$2:$B$20000,$A21,Movements!$C$2:$C$20000,"ADJUST+")-SUMIFS(Movements!$D$2:$D$20000,Movements!$B$2:$B$20000,$A21,Movements!$C$2:$C$20000,"ISSUE")-SUMIFS(Movements!$D$2:$D$20000,Movements!$B$2:$B$20000,$A21,Movements!$C$2:$C$20000,"SCRAP")-SUMIFS(Movements!$D$2:$D$20000,Movements!$B$2:$B$20000,$A21,Movements!$C$2:$C$20000,"ADJUST-")</f>
        <v/>
      </c>
      <c r="F21" s="16" t="n">
        <v>1000</v>
      </c>
      <c r="G21" s="23">
        <f>IF($E21&lt;=0,"OUT OF STOCK",IF(AND($F21&gt;0,$E21&lt;=$F21*0.2),"LOW STOCK","IN STOCK"))</f>
        <v/>
      </c>
    </row>
    <row r="22" ht="15" customHeight="1" s="13">
      <c r="A22" s="16" t="inlineStr">
        <is>
          <t>MC00001A6XXXXX001</t>
        </is>
      </c>
      <c r="B22" s="16" t="inlineStr">
        <is>
          <t>WIRE CLA 2.5 - - WIRE- 2.5 SQ.MM</t>
        </is>
      </c>
      <c r="C22" s="16" t="inlineStr">
        <is>
          <t>M</t>
        </is>
      </c>
      <c r="D22" s="16" t="n"/>
      <c r="E22" s="22">
        <f>SUMIFS(Movements!$D$2:$D$20000,Movements!$B$2:$B$20000,$A22,Movements!$C$2:$C$20000,"RECEIPT")+SUMIFS(Movements!$D$2:$D$20000,Movements!$B$2:$B$20000,$A22,Movements!$C$2:$C$20000,"RETURN")+SUMIFS(Movements!$D$2:$D$20000,Movements!$B$2:$B$20000,$A22,Movements!$C$2:$C$20000,"ADJUST+")-SUMIFS(Movements!$D$2:$D$20000,Movements!$B$2:$B$20000,$A22,Movements!$C$2:$C$20000,"ISSUE")-SUMIFS(Movements!$D$2:$D$20000,Movements!$B$2:$B$20000,$A22,Movements!$C$2:$C$20000,"SCRAP")-SUMIFS(Movements!$D$2:$D$20000,Movements!$B$2:$B$20000,$A22,Movements!$C$2:$C$20000,"ADJUST-")</f>
        <v/>
      </c>
      <c r="F22" s="16" t="n">
        <v>1000</v>
      </c>
      <c r="G22" s="23">
        <f>IF($E22&lt;=0,"OUT OF STOCK",IF(AND($F22&gt;0,$E22&lt;=$F22*0.2),"LOW STOCK","IN STOCK"))</f>
        <v/>
      </c>
    </row>
    <row r="23" ht="15" customHeight="1" s="13">
      <c r="A23" s="16" t="inlineStr">
        <is>
          <t>MC00001A8XXXXX001</t>
        </is>
      </c>
      <c r="B23" s="16" t="inlineStr">
        <is>
          <t>WIRE CLA 4 SQ - - WIRE- 4. SQ.MM</t>
        </is>
      </c>
      <c r="C23" s="16" t="inlineStr">
        <is>
          <t>M</t>
        </is>
      </c>
      <c r="D23" s="16" t="n"/>
      <c r="E23" s="22">
        <f>SUMIFS(Movements!$D$2:$D$20000,Movements!$B$2:$B$20000,$A23,Movements!$C$2:$C$20000,"RECEIPT")+SUMIFS(Movements!$D$2:$D$20000,Movements!$B$2:$B$20000,$A23,Movements!$C$2:$C$20000,"RETURN")+SUMIFS(Movements!$D$2:$D$20000,Movements!$B$2:$B$20000,$A23,Movements!$C$2:$C$20000,"ADJUST+")-SUMIFS(Movements!$D$2:$D$20000,Movements!$B$2:$B$20000,$A23,Movements!$C$2:$C$20000,"ISSUE")-SUMIFS(Movements!$D$2:$D$20000,Movements!$B$2:$B$20000,$A23,Movements!$C$2:$C$20000,"SCRAP")-SUMIFS(Movements!$D$2:$D$20000,Movements!$B$2:$B$20000,$A23,Movements!$C$2:$C$20000,"ADJUST-")</f>
        <v/>
      </c>
      <c r="F23" s="16" t="n">
        <v>500</v>
      </c>
      <c r="G23" s="23">
        <f>IF($E23&lt;=0,"OUT OF STOCK",IF(AND($F23&gt;0,$E23&lt;=$F23*0.2),"LOW STOCK","IN STOCK"))</f>
        <v/>
      </c>
    </row>
    <row r="24" ht="15" customHeight="1" s="13">
      <c r="A24" s="16" t="inlineStr">
        <is>
          <t>MC00001A9XXXXX001</t>
        </is>
      </c>
      <c r="B24" s="16" t="inlineStr">
        <is>
          <t>WIRE CLA 6 SQ - - WIRE- 6. SQ.MM</t>
        </is>
      </c>
      <c r="C24" s="16" t="inlineStr">
        <is>
          <t>M</t>
        </is>
      </c>
      <c r="D24" s="16" t="n"/>
      <c r="E24" s="22">
        <f>SUMIFS(Movements!$D$2:$D$20000,Movements!$B$2:$B$20000,$A24,Movements!$C$2:$C$20000,"RECEIPT")+SUMIFS(Movements!$D$2:$D$20000,Movements!$B$2:$B$20000,$A24,Movements!$C$2:$C$20000,"RETURN")+SUMIFS(Movements!$D$2:$D$20000,Movements!$B$2:$B$20000,$A24,Movements!$C$2:$C$20000,"ADJUST+")-SUMIFS(Movements!$D$2:$D$20000,Movements!$B$2:$B$20000,$A24,Movements!$C$2:$C$20000,"ISSUE")-SUMIFS(Movements!$D$2:$D$20000,Movements!$B$2:$B$20000,$A24,Movements!$C$2:$C$20000,"SCRAP")-SUMIFS(Movements!$D$2:$D$20000,Movements!$B$2:$B$20000,$A24,Movements!$C$2:$C$20000,"ADJUST-")</f>
        <v/>
      </c>
      <c r="F24" s="16" t="n">
        <v>600</v>
      </c>
      <c r="G24" s="23">
        <f>IF($E24&lt;=0,"OUT OF STOCK",IF(AND($F24&gt;0,$E24&lt;=$F24*0.2),"LOW STOCK","IN STOCK"))</f>
        <v/>
      </c>
    </row>
    <row r="25" ht="15" customHeight="1" s="13">
      <c r="A25" s="16" t="inlineStr">
        <is>
          <t>MC00001B2XXXXX001</t>
        </is>
      </c>
      <c r="B25" s="16" t="inlineStr">
        <is>
          <t>WIRE CLA 10 S - - WIRE -10 SQ.MM</t>
        </is>
      </c>
      <c r="C25" s="16" t="inlineStr">
        <is>
          <t>M</t>
        </is>
      </c>
      <c r="D25" s="16" t="n"/>
      <c r="E25" s="22">
        <f>SUMIFS(Movements!$D$2:$D$20000,Movements!$B$2:$B$20000,$A25,Movements!$C$2:$C$20000,"RECEIPT")+SUMIFS(Movements!$D$2:$D$20000,Movements!$B$2:$B$20000,$A25,Movements!$C$2:$C$20000,"RETURN")+SUMIFS(Movements!$D$2:$D$20000,Movements!$B$2:$B$20000,$A25,Movements!$C$2:$C$20000,"ADJUST+")-SUMIFS(Movements!$D$2:$D$20000,Movements!$B$2:$B$20000,$A25,Movements!$C$2:$C$20000,"ISSUE")-SUMIFS(Movements!$D$2:$D$20000,Movements!$B$2:$B$20000,$A25,Movements!$C$2:$C$20000,"SCRAP")-SUMIFS(Movements!$D$2:$D$20000,Movements!$B$2:$B$20000,$A25,Movements!$C$2:$C$20000,"ADJUST-")</f>
        <v/>
      </c>
      <c r="F25" s="16" t="n">
        <v>600</v>
      </c>
      <c r="G25" s="23">
        <f>IF($E25&lt;=0,"OUT OF STOCK",IF(AND($F25&gt;0,$E25&lt;=$F25*0.2),"LOW STOCK","IN STOCK"))</f>
        <v/>
      </c>
    </row>
    <row r="26" ht="15" customHeight="1" s="13">
      <c r="A26" s="16" t="inlineStr">
        <is>
          <t>MC00001A7XXXXX001</t>
        </is>
      </c>
      <c r="B26" s="16" t="inlineStr">
        <is>
          <t>WIRE CLA 3. S - - WIRE- 3. SQ.MM</t>
        </is>
      </c>
      <c r="C26" s="16" t="inlineStr">
        <is>
          <t>M</t>
        </is>
      </c>
      <c r="D26" s="16" t="n"/>
      <c r="E26" s="22">
        <f>SUMIFS(Movements!$D$2:$D$20000,Movements!$B$2:$B$20000,$A26,Movements!$C$2:$C$20000,"RECEIPT")+SUMIFS(Movements!$D$2:$D$20000,Movements!$B$2:$B$20000,$A26,Movements!$C$2:$C$20000,"RETURN")+SUMIFS(Movements!$D$2:$D$20000,Movements!$B$2:$B$20000,$A26,Movements!$C$2:$C$20000,"ADJUST+")-SUMIFS(Movements!$D$2:$D$20000,Movements!$B$2:$B$20000,$A26,Movements!$C$2:$C$20000,"ISSUE")-SUMIFS(Movements!$D$2:$D$20000,Movements!$B$2:$B$20000,$A26,Movements!$C$2:$C$20000,"SCRAP")-SUMIFS(Movements!$D$2:$D$20000,Movements!$B$2:$B$20000,$A26,Movements!$C$2:$C$20000,"ADJUST-")</f>
        <v/>
      </c>
      <c r="F26" s="16" t="n">
        <v>500</v>
      </c>
      <c r="G26" s="23">
        <f>IF($E26&lt;=0,"OUT OF STOCK",IF(AND($F26&gt;0,$E26&lt;=$F26*0.2),"LOW STOCK","IN STOCK"))</f>
        <v/>
      </c>
    </row>
    <row r="27" ht="15" customHeight="1" s="13">
      <c r="A27" s="16" t="inlineStr">
        <is>
          <t>MC00001B1XXXXX001</t>
        </is>
      </c>
      <c r="B27" s="16" t="inlineStr">
        <is>
          <t>WIRE CLA 8 SQ - - WIRE- 8 SQ.MM</t>
        </is>
      </c>
      <c r="C27" s="16" t="inlineStr">
        <is>
          <t>M</t>
        </is>
      </c>
      <c r="D27" s="16" t="n"/>
      <c r="E27" s="22">
        <f>SUMIFS(Movements!$D$2:$D$20000,Movements!$B$2:$B$20000,$A27,Movements!$C$2:$C$20000,"RECEIPT")+SUMIFS(Movements!$D$2:$D$20000,Movements!$B$2:$B$20000,$A27,Movements!$C$2:$C$20000,"RETURN")+SUMIFS(Movements!$D$2:$D$20000,Movements!$B$2:$B$20000,$A27,Movements!$C$2:$C$20000,"ADJUST+")-SUMIFS(Movements!$D$2:$D$20000,Movements!$B$2:$B$20000,$A27,Movements!$C$2:$C$20000,"ISSUE")-SUMIFS(Movements!$D$2:$D$20000,Movements!$B$2:$B$20000,$A27,Movements!$C$2:$C$20000,"SCRAP")-SUMIFS(Movements!$D$2:$D$20000,Movements!$B$2:$B$20000,$A27,Movements!$C$2:$C$20000,"ADJUST-")</f>
        <v/>
      </c>
      <c r="F27" s="16" t="n">
        <v>600</v>
      </c>
      <c r="G27" s="23">
        <f>IF($E27&lt;=0,"OUT OF STOCK",IF(AND($F27&gt;0,$E27&lt;=$F27*0.2),"LOW STOCK","IN STOCK"))</f>
        <v/>
      </c>
    </row>
    <row r="28" ht="15" customHeight="1" s="13">
      <c r="A28" s="16" t="inlineStr">
        <is>
          <t>MC000ACZAUN7IG 9001</t>
        </is>
      </c>
      <c r="B28" s="16" t="inlineStr">
        <is>
          <t>Molex ServiceGrade Hand Crimp Tool for Open Barrel</t>
        </is>
      </c>
      <c r="C28" s="16" t="inlineStr">
        <is>
          <t>NO</t>
        </is>
      </c>
      <c r="D28" s="16" t="n"/>
      <c r="E28" s="22">
        <f>SUMIFS(Movements!$D$2:$D$20000,Movements!$B$2:$B$20000,$A28,Movements!$C$2:$C$20000,"RECEIPT")+SUMIFS(Movements!$D$2:$D$20000,Movements!$B$2:$B$20000,$A28,Movements!$C$2:$C$20000,"RETURN")+SUMIFS(Movements!$D$2:$D$20000,Movements!$B$2:$B$20000,$A28,Movements!$C$2:$C$20000,"ADJUST+")-SUMIFS(Movements!$D$2:$D$20000,Movements!$B$2:$B$20000,$A28,Movements!$C$2:$C$20000,"ISSUE")-SUMIFS(Movements!$D$2:$D$20000,Movements!$B$2:$B$20000,$A28,Movements!$C$2:$C$20000,"SCRAP")-SUMIFS(Movements!$D$2:$D$20000,Movements!$B$2:$B$20000,$A28,Movements!$C$2:$C$20000,"ADJUST-")</f>
        <v/>
      </c>
      <c r="F28" s="16" t="n">
        <v>2</v>
      </c>
      <c r="G28" s="23">
        <f>IF($E28&lt;=0,"OUT OF STOCK",IF(AND($F28&gt;0,$E28&lt;=$F28*0.2),"LOW STOCK","IN STOCK"))</f>
        <v/>
      </c>
    </row>
    <row r="29" ht="15" customHeight="1" s="13">
      <c r="A29" s="16" t="inlineStr">
        <is>
          <t>MC000AAOAVO2IH 4001 8</t>
        </is>
      </c>
      <c r="B29" s="16" t="inlineStr">
        <is>
          <t>RS PRO Wire Stripper 0.6mm Min 2.6mm Max 5-1/2</t>
        </is>
      </c>
      <c r="C29" s="16" t="inlineStr">
        <is>
          <t>NO</t>
        </is>
      </c>
      <c r="D29" s="16" t="n"/>
      <c r="E29" s="22">
        <f>SUMIFS(Movements!$D$2:$D$20000,Movements!$B$2:$B$20000,$A29,Movements!$C$2:$C$20000,"RECEIPT")+SUMIFS(Movements!$D$2:$D$20000,Movements!$B$2:$B$20000,$A29,Movements!$C$2:$C$20000,"RETURN")+SUMIFS(Movements!$D$2:$D$20000,Movements!$B$2:$B$20000,$A29,Movements!$C$2:$C$20000,"ADJUST+")-SUMIFS(Movements!$D$2:$D$20000,Movements!$B$2:$B$20000,$A29,Movements!$C$2:$C$20000,"ISSUE")-SUMIFS(Movements!$D$2:$D$20000,Movements!$B$2:$B$20000,$A29,Movements!$C$2:$C$20000,"SCRAP")-SUMIFS(Movements!$D$2:$D$20000,Movements!$B$2:$B$20000,$A29,Movements!$C$2:$C$20000,"ADJUST-")</f>
        <v/>
      </c>
      <c r="F29" s="16" t="n">
        <v>1</v>
      </c>
      <c r="G29" s="23">
        <f>IF($E29&lt;=0,"OUT OF STOCK",IF(AND($F29&gt;0,$E29&lt;=$F29*0.2),"LOW STOCK","IN STOCK"))</f>
        <v/>
      </c>
    </row>
    <row r="30" ht="15" customHeight="1" s="13">
      <c r="A30" s="16" t="inlineStr">
        <is>
          <t>MC000ADBAFO6XX X001</t>
        </is>
      </c>
      <c r="B30" s="16" t="inlineStr">
        <is>
          <t>Knipex 95 31 Ratchet Cable Cutters</t>
        </is>
      </c>
      <c r="C30" s="16" t="inlineStr">
        <is>
          <t>NO</t>
        </is>
      </c>
      <c r="D30" s="16" t="n"/>
      <c r="E30" s="22">
        <f>SUMIFS(Movements!$D$2:$D$20000,Movements!$B$2:$B$20000,$A30,Movements!$C$2:$C$20000,"RECEIPT")+SUMIFS(Movements!$D$2:$D$20000,Movements!$B$2:$B$20000,$A30,Movements!$C$2:$C$20000,"RETURN")+SUMIFS(Movements!$D$2:$D$20000,Movements!$B$2:$B$20000,$A30,Movements!$C$2:$C$20000,"ADJUST+")-SUMIFS(Movements!$D$2:$D$20000,Movements!$B$2:$B$20000,$A30,Movements!$C$2:$C$20000,"ISSUE")-SUMIFS(Movements!$D$2:$D$20000,Movements!$B$2:$B$20000,$A30,Movements!$C$2:$C$20000,"SCRAP")-SUMIFS(Movements!$D$2:$D$20000,Movements!$B$2:$B$20000,$A30,Movements!$C$2:$C$20000,"ADJUST-")</f>
        <v/>
      </c>
      <c r="F30" s="16" t="n">
        <v>1</v>
      </c>
      <c r="G30" s="23">
        <f>IF($E30&lt;=0,"OUT OF STOCK",IF(AND($F30&gt;0,$E30&lt;=$F30*0.2),"LOW STOCK","IN STOCK"))</f>
        <v/>
      </c>
    </row>
    <row r="31" ht="15" customHeight="1" s="13">
      <c r="A31" s="16" t="inlineStr">
        <is>
          <t>MC000ACZAF07IH7 001</t>
        </is>
      </c>
      <c r="B31" s="16" t="inlineStr">
        <is>
          <t>Knipex PreciForce® Hand Ratcheting Crimp Tool for</t>
        </is>
      </c>
      <c r="C31" s="16" t="inlineStr">
        <is>
          <t>NO</t>
        </is>
      </c>
      <c r="D31" s="16" t="n"/>
      <c r="E31" s="22">
        <f>SUMIFS(Movements!$D$2:$D$20000,Movements!$B$2:$B$20000,$A31,Movements!$C$2:$C$20000,"RECEIPT")+SUMIFS(Movements!$D$2:$D$20000,Movements!$B$2:$B$20000,$A31,Movements!$C$2:$C$20000,"RETURN")+SUMIFS(Movements!$D$2:$D$20000,Movements!$B$2:$B$20000,$A31,Movements!$C$2:$C$20000,"ADJUST+")-SUMIFS(Movements!$D$2:$D$20000,Movements!$B$2:$B$20000,$A31,Movements!$C$2:$C$20000,"ISSUE")-SUMIFS(Movements!$D$2:$D$20000,Movements!$B$2:$B$20000,$A31,Movements!$C$2:$C$20000,"SCRAP")-SUMIFS(Movements!$D$2:$D$20000,Movements!$B$2:$B$20000,$A31,Movements!$C$2:$C$20000,"ADJUST-")</f>
        <v/>
      </c>
      <c r="F31" s="16" t="n">
        <v>1</v>
      </c>
      <c r="G31" s="23">
        <f>IF($E31&lt;=0,"OUT OF STOCK",IF(AND($F31&gt;0,$E31&lt;=$F31*0.2),"LOW STOCK","IN STOCK"))</f>
        <v/>
      </c>
    </row>
    <row r="32" ht="15" customHeight="1" s="13">
      <c r="A32" s="16" t="inlineStr">
        <is>
          <t>MC000ADAAFO7IH 8001</t>
        </is>
      </c>
      <c r="B32" s="16" t="inlineStr">
        <is>
          <t>Knipex Crimping Tool 220 mm Overall</t>
        </is>
      </c>
      <c r="C32" s="16" t="inlineStr">
        <is>
          <t>NO</t>
        </is>
      </c>
      <c r="D32" s="16" t="n"/>
      <c r="E32" s="22">
        <f>SUMIFS(Movements!$D$2:$D$20000,Movements!$B$2:$B$20000,$A32,Movements!$C$2:$C$20000,"RECEIPT")+SUMIFS(Movements!$D$2:$D$20000,Movements!$B$2:$B$20000,$A32,Movements!$C$2:$C$20000,"RETURN")+SUMIFS(Movements!$D$2:$D$20000,Movements!$B$2:$B$20000,$A32,Movements!$C$2:$C$20000,"ADJUST+")-SUMIFS(Movements!$D$2:$D$20000,Movements!$B$2:$B$20000,$A32,Movements!$C$2:$C$20000,"ISSUE")-SUMIFS(Movements!$D$2:$D$20000,Movements!$B$2:$B$20000,$A32,Movements!$C$2:$C$20000,"SCRAP")-SUMIFS(Movements!$D$2:$D$20000,Movements!$B$2:$B$20000,$A32,Movements!$C$2:$C$20000,"ADJUST-")</f>
        <v/>
      </c>
      <c r="F32" s="16" t="n">
        <v>1</v>
      </c>
      <c r="G32" s="23">
        <f>IF($E32&lt;=0,"OUT OF STOCK",IF(AND($F32&gt;0,$E32&lt;=$F32*0.2),"LOW STOCK","IN STOCK"))</f>
        <v/>
      </c>
    </row>
    <row r="33" ht="15" customHeight="1" s="13">
      <c r="A33" s="16" t="inlineStr">
        <is>
          <t>MC000ACZAWO5X XX001</t>
        </is>
      </c>
      <c r="B33" s="16" t="inlineStr">
        <is>
          <t>Crimp Tool DT Series HD10 Series HD30 Series H</t>
        </is>
      </c>
      <c r="C33" s="16" t="inlineStr">
        <is>
          <t>NO</t>
        </is>
      </c>
      <c r="D33" s="16" t="n"/>
      <c r="E33" s="22">
        <f>SUMIFS(Movements!$D$2:$D$20000,Movements!$B$2:$B$20000,$A33,Movements!$C$2:$C$20000,"RECEIPT")+SUMIFS(Movements!$D$2:$D$20000,Movements!$B$2:$B$20000,$A33,Movements!$C$2:$C$20000,"RETURN")+SUMIFS(Movements!$D$2:$D$20000,Movements!$B$2:$B$20000,$A33,Movements!$C$2:$C$20000,"ADJUST+")-SUMIFS(Movements!$D$2:$D$20000,Movements!$B$2:$B$20000,$A33,Movements!$C$2:$C$20000,"ISSUE")-SUMIFS(Movements!$D$2:$D$20000,Movements!$B$2:$B$20000,$A33,Movements!$C$2:$C$20000,"SCRAP")-SUMIFS(Movements!$D$2:$D$20000,Movements!$B$2:$B$20000,$A33,Movements!$C$2:$C$20000,"ADJUST-")</f>
        <v/>
      </c>
      <c r="F33" s="16" t="n">
        <v>1</v>
      </c>
      <c r="G33" s="23">
        <f>IF($E33&lt;=0,"OUT OF STOCK",IF(AND($F33&gt;0,$E33&lt;=$F33*0.2),"LOW STOCK","IN STOCK"))</f>
        <v/>
      </c>
    </row>
    <row r="34" ht="15" customHeight="1" s="13">
      <c r="A34" s="16" t="inlineStr">
        <is>
          <t>P_CON_TOOL_RS_219</t>
        </is>
      </c>
      <c r="B34" s="16" t="n"/>
      <c r="C34" s="16" t="inlineStr">
        <is>
          <t>NO</t>
        </is>
      </c>
      <c r="D34" s="16" t="n"/>
      <c r="E34" s="22">
        <f>SUMIFS(Movements!$D$2:$D$20000,Movements!$B$2:$B$20000,$A34,Movements!$C$2:$C$20000,"RECEIPT")+SUMIFS(Movements!$D$2:$D$20000,Movements!$B$2:$B$20000,$A34,Movements!$C$2:$C$20000,"RETURN")+SUMIFS(Movements!$D$2:$D$20000,Movements!$B$2:$B$20000,$A34,Movements!$C$2:$C$20000,"ADJUST+")-SUMIFS(Movements!$D$2:$D$20000,Movements!$B$2:$B$20000,$A34,Movements!$C$2:$C$20000,"ISSUE")-SUMIFS(Movements!$D$2:$D$20000,Movements!$B$2:$B$20000,$A34,Movements!$C$2:$C$20000,"SCRAP")-SUMIFS(Movements!$D$2:$D$20000,Movements!$B$2:$B$20000,$A34,Movements!$C$2:$C$20000,"ADJUST-")</f>
        <v/>
      </c>
      <c r="F34" s="16" t="n">
        <v>2</v>
      </c>
      <c r="G34" s="23">
        <f>IF($E34&lt;=0,"OUT OF STOCK",IF(AND($F34&gt;0,$E34&lt;=$F34*0.2),"LOW STOCK","IN STOCK"))</f>
        <v/>
      </c>
    </row>
    <row r="35" ht="15" customHeight="1" s="13">
      <c r="A35" s="16" t="inlineStr">
        <is>
          <t>P_CON_ELCC_GEN_071</t>
        </is>
      </c>
      <c r="B35" s="16" t="inlineStr">
        <is>
          <t>Battery Cable 1C X 16 mm²</t>
        </is>
      </c>
      <c r="C35" s="16" t="inlineStr">
        <is>
          <t>NO</t>
        </is>
      </c>
      <c r="D35" s="16" t="inlineStr">
        <is>
          <t>EMC CUPBOARD</t>
        </is>
      </c>
      <c r="E35" s="22">
        <f>SUMIFS(Movements!$D$2:$D$20000,Movements!$B$2:$B$20000,$A35,Movements!$C$2:$C$20000,"RECEIPT")+SUMIFS(Movements!$D$2:$D$20000,Movements!$B$2:$B$20000,$A35,Movements!$C$2:$C$20000,"RETURN")+SUMIFS(Movements!$D$2:$D$20000,Movements!$B$2:$B$20000,$A35,Movements!$C$2:$C$20000,"ADJUST+")-SUMIFS(Movements!$D$2:$D$20000,Movements!$B$2:$B$20000,$A35,Movements!$C$2:$C$20000,"ISSUE")-SUMIFS(Movements!$D$2:$D$20000,Movements!$B$2:$B$20000,$A35,Movements!$C$2:$C$20000,"SCRAP")-SUMIFS(Movements!$D$2:$D$20000,Movements!$B$2:$B$20000,$A35,Movements!$C$2:$C$20000,"ADJUST-")</f>
        <v/>
      </c>
      <c r="F35" s="16" t="n">
        <v>50</v>
      </c>
      <c r="G35" s="23">
        <f>IF($E35&lt;=0,"OUT OF STOCK",IF(AND($F35&gt;0,$E35&lt;=$F35*0.2),"LOW STOCK","IN STOCK"))</f>
        <v/>
      </c>
    </row>
    <row r="36" ht="15" customHeight="1" s="13">
      <c r="A36" s="16" t="inlineStr">
        <is>
          <t>P_CON_ELCC_GEN_072</t>
        </is>
      </c>
      <c r="B36" s="16" t="inlineStr">
        <is>
          <t>Battery Cable 1 C X 35 mm²</t>
        </is>
      </c>
      <c r="C36" s="16" t="inlineStr">
        <is>
          <t>NO</t>
        </is>
      </c>
      <c r="D36" s="16" t="inlineStr">
        <is>
          <t>EMC CUPBOARD</t>
        </is>
      </c>
      <c r="E36" s="22">
        <f>SUMIFS(Movements!$D$2:$D$20000,Movements!$B$2:$B$20000,$A36,Movements!$C$2:$C$20000,"RECEIPT")+SUMIFS(Movements!$D$2:$D$20000,Movements!$B$2:$B$20000,$A36,Movements!$C$2:$C$20000,"RETURN")+SUMIFS(Movements!$D$2:$D$20000,Movements!$B$2:$B$20000,$A36,Movements!$C$2:$C$20000,"ADJUST+")-SUMIFS(Movements!$D$2:$D$20000,Movements!$B$2:$B$20000,$A36,Movements!$C$2:$C$20000,"ISSUE")-SUMIFS(Movements!$D$2:$D$20000,Movements!$B$2:$B$20000,$A36,Movements!$C$2:$C$20000,"SCRAP")-SUMIFS(Movements!$D$2:$D$20000,Movements!$B$2:$B$20000,$A36,Movements!$C$2:$C$20000,"ADJUST-")</f>
        <v/>
      </c>
      <c r="F36" s="16" t="n">
        <v>50</v>
      </c>
      <c r="G36" s="23">
        <f>IF($E36&lt;=0,"OUT OF STOCK",IF(AND($F36&gt;0,$E36&lt;=$F36*0.2),"LOW STOCK","IN STOCK"))</f>
        <v/>
      </c>
    </row>
    <row r="37" ht="15" customHeight="1" s="13">
      <c r="A37" s="16" t="inlineStr">
        <is>
          <t>P_CON_ELCC_GEN_073</t>
        </is>
      </c>
      <c r="B37" s="16" t="inlineStr">
        <is>
          <t>Battery Cable 1 C X 70 mm²</t>
        </is>
      </c>
      <c r="C37" s="16" t="inlineStr">
        <is>
          <t>NO</t>
        </is>
      </c>
      <c r="D37" s="16" t="inlineStr">
        <is>
          <t>EMC CUPBOARD</t>
        </is>
      </c>
      <c r="E37" s="22">
        <f>SUMIFS(Movements!$D$2:$D$20000,Movements!$B$2:$B$20000,$A37,Movements!$C$2:$C$20000,"RECEIPT")+SUMIFS(Movements!$D$2:$D$20000,Movements!$B$2:$B$20000,$A37,Movements!$C$2:$C$20000,"RETURN")+SUMIFS(Movements!$D$2:$D$20000,Movements!$B$2:$B$20000,$A37,Movements!$C$2:$C$20000,"ADJUST+")-SUMIFS(Movements!$D$2:$D$20000,Movements!$B$2:$B$20000,$A37,Movements!$C$2:$C$20000,"ISSUE")-SUMIFS(Movements!$D$2:$D$20000,Movements!$B$2:$B$20000,$A37,Movements!$C$2:$C$20000,"SCRAP")-SUMIFS(Movements!$D$2:$D$20000,Movements!$B$2:$B$20000,$A37,Movements!$C$2:$C$20000,"ADJUST-")</f>
        <v/>
      </c>
      <c r="F37" s="16" t="n">
        <v>50</v>
      </c>
      <c r="G37" s="23">
        <f>IF($E37&lt;=0,"OUT OF STOCK",IF(AND($F37&gt;0,$E37&lt;=$F37*0.2),"LOW STOCK","IN STOCK"))</f>
        <v/>
      </c>
    </row>
    <row r="38" ht="15" customHeight="1" s="13">
      <c r="A38" s="16" t="inlineStr">
        <is>
          <t>0010 P_SER_ITSE_AMC_035-SOFTWARE AMC</t>
        </is>
      </c>
      <c r="B38" s="16" t="inlineStr">
        <is>
          <t>Renewal Acrobat Pro</t>
        </is>
      </c>
      <c r="C38" s="16" t="inlineStr">
        <is>
          <t>AU</t>
        </is>
      </c>
      <c r="D38" s="16" t="n"/>
      <c r="E38" s="22">
        <f>SUMIFS(Movements!$D$2:$D$20000,Movements!$B$2:$B$20000,$A38,Movements!$C$2:$C$20000,"RECEIPT")+SUMIFS(Movements!$D$2:$D$20000,Movements!$B$2:$B$20000,$A38,Movements!$C$2:$C$20000,"RETURN")+SUMIFS(Movements!$D$2:$D$20000,Movements!$B$2:$B$20000,$A38,Movements!$C$2:$C$20000,"ADJUST+")-SUMIFS(Movements!$D$2:$D$20000,Movements!$B$2:$B$20000,$A38,Movements!$C$2:$C$20000,"ISSUE")-SUMIFS(Movements!$D$2:$D$20000,Movements!$B$2:$B$20000,$A38,Movements!$C$2:$C$20000,"SCRAP")-SUMIFS(Movements!$D$2:$D$20000,Movements!$B$2:$B$20000,$A38,Movements!$C$2:$C$20000,"ADJUST-")</f>
        <v/>
      </c>
      <c r="F38" s="16" t="n">
        <v>1</v>
      </c>
      <c r="G38" s="23">
        <f>IF($E38&lt;=0,"OUT OF STOCK",IF(AND($F38&gt;0,$E38&lt;=$F38*0.2),"LOW STOCK","IN STOCK"))</f>
        <v/>
      </c>
    </row>
    <row r="39" ht="15" customHeight="1" s="13">
      <c r="A39" s="16" t="inlineStr">
        <is>
          <t>P_C_CD/2024/006_01</t>
        </is>
      </c>
      <c r="B39" s="16" t="inlineStr">
        <is>
          <t>SEFRAM7204 6000cts handheld digital MM</t>
        </is>
      </c>
      <c r="C39" s="16" t="inlineStr">
        <is>
          <t>NO</t>
        </is>
      </c>
      <c r="D39" s="16" t="n"/>
      <c r="E39" s="22">
        <f>SUMIFS(Movements!$D$2:$D$20000,Movements!$B$2:$B$20000,$A39,Movements!$C$2:$C$20000,"RECEIPT")+SUMIFS(Movements!$D$2:$D$20000,Movements!$B$2:$B$20000,$A39,Movements!$C$2:$C$20000,"RETURN")+SUMIFS(Movements!$D$2:$D$20000,Movements!$B$2:$B$20000,$A39,Movements!$C$2:$C$20000,"ADJUST+")-SUMIFS(Movements!$D$2:$D$20000,Movements!$B$2:$B$20000,$A39,Movements!$C$2:$C$20000,"ISSUE")-SUMIFS(Movements!$D$2:$D$20000,Movements!$B$2:$B$20000,$A39,Movements!$C$2:$C$20000,"SCRAP")-SUMIFS(Movements!$D$2:$D$20000,Movements!$B$2:$B$20000,$A39,Movements!$C$2:$C$20000,"ADJUST-")</f>
        <v/>
      </c>
      <c r="F39" s="16" t="n">
        <v>3</v>
      </c>
      <c r="G39" s="23">
        <f>IF($E39&lt;=0,"OUT OF STOCK",IF(AND($F39&gt;0,$E39&lt;=$F39*0.2),"LOW STOCK","IN STOCK"))</f>
        <v/>
      </c>
    </row>
    <row r="40" ht="15" customHeight="1" s="13">
      <c r="A40" s="16" t="inlineStr">
        <is>
          <t>P_C_CD/2024/005_01</t>
        </is>
      </c>
      <c r="B40" s="16" t="inlineStr">
        <is>
          <t>Regulated DC Power Supply RL 03203</t>
        </is>
      </c>
      <c r="C40" s="16" t="inlineStr">
        <is>
          <t>NO</t>
        </is>
      </c>
      <c r="D40" s="16" t="n"/>
      <c r="E40" s="22">
        <f>SUMIFS(Movements!$D$2:$D$20000,Movements!$B$2:$B$20000,$A40,Movements!$C$2:$C$20000,"RECEIPT")+SUMIFS(Movements!$D$2:$D$20000,Movements!$B$2:$B$20000,$A40,Movements!$C$2:$C$20000,"RETURN")+SUMIFS(Movements!$D$2:$D$20000,Movements!$B$2:$B$20000,$A40,Movements!$C$2:$C$20000,"ADJUST+")-SUMIFS(Movements!$D$2:$D$20000,Movements!$B$2:$B$20000,$A40,Movements!$C$2:$C$20000,"ISSUE")-SUMIFS(Movements!$D$2:$D$20000,Movements!$B$2:$B$20000,$A40,Movements!$C$2:$C$20000,"SCRAP")-SUMIFS(Movements!$D$2:$D$20000,Movements!$B$2:$B$20000,$A40,Movements!$C$2:$C$20000,"ADJUST-")</f>
        <v/>
      </c>
      <c r="F40" s="16" t="n">
        <v>2</v>
      </c>
      <c r="G40" s="23">
        <f>IF($E40&lt;=0,"OUT OF STOCK",IF(AND($F40&gt;0,$E40&lt;=$F40*0.2),"LOW STOCK","IN STOCK"))</f>
        <v/>
      </c>
    </row>
    <row r="41" ht="15" customHeight="1" s="13">
      <c r="A41" s="16" t="inlineStr">
        <is>
          <t>7208/0024</t>
        </is>
      </c>
      <c r="B41" s="16" t="inlineStr">
        <is>
          <t>OUNTERWEIGHT 35E 4WD PAI</t>
        </is>
      </c>
      <c r="C41" s="16" t="inlineStr">
        <is>
          <t>NO</t>
        </is>
      </c>
      <c r="D41" s="16" t="n"/>
      <c r="E41" s="22">
        <f>SUMIFS(Movements!$D$2:$D$20000,Movements!$B$2:$B$20000,$A41,Movements!$C$2:$C$20000,"RECEIPT")+SUMIFS(Movements!$D$2:$D$20000,Movements!$B$2:$B$20000,$A41,Movements!$C$2:$C$20000,"RETURN")+SUMIFS(Movements!$D$2:$D$20000,Movements!$B$2:$B$20000,$A41,Movements!$C$2:$C$20000,"ADJUST+")-SUMIFS(Movements!$D$2:$D$20000,Movements!$B$2:$B$20000,$A41,Movements!$C$2:$C$20000,"ISSUE")-SUMIFS(Movements!$D$2:$D$20000,Movements!$B$2:$B$20000,$A41,Movements!$C$2:$C$20000,"SCRAP")-SUMIFS(Movements!$D$2:$D$20000,Movements!$B$2:$B$20000,$A41,Movements!$C$2:$C$20000,"ADJUST-")</f>
        <v/>
      </c>
      <c r="F41" s="16" t="n">
        <v>50</v>
      </c>
      <c r="G41" s="23">
        <f>IF($E41&lt;=0,"OUT OF STOCK",IF(AND($F41&gt;0,$E41&lt;=$F41*0.2),"LOW STOCK","IN STOCK"))</f>
        <v/>
      </c>
    </row>
    <row r="42" ht="15" customHeight="1" s="13">
      <c r="A42" s="16" t="inlineStr">
        <is>
          <t>7208/0023</t>
        </is>
      </c>
      <c r="B42" s="16" t="inlineStr">
        <is>
          <t>OUNTERWEIGHT 35E 4WD PAI</t>
        </is>
      </c>
      <c r="C42" s="16" t="inlineStr">
        <is>
          <t>NO</t>
        </is>
      </c>
      <c r="D42" s="16" t="n"/>
      <c r="E42" s="22">
        <f>SUMIFS(Movements!$D$2:$D$20000,Movements!$B$2:$B$20000,$A42,Movements!$C$2:$C$20000,"RECEIPT")+SUMIFS(Movements!$D$2:$D$20000,Movements!$B$2:$B$20000,$A42,Movements!$C$2:$C$20000,"RETURN")+SUMIFS(Movements!$D$2:$D$20000,Movements!$B$2:$B$20000,$A42,Movements!$C$2:$C$20000,"ADJUST+")-SUMIFS(Movements!$D$2:$D$20000,Movements!$B$2:$B$20000,$A42,Movements!$C$2:$C$20000,"ISSUE")-SUMIFS(Movements!$D$2:$D$20000,Movements!$B$2:$B$20000,$A42,Movements!$C$2:$C$20000,"SCRAP")-SUMIFS(Movements!$D$2:$D$20000,Movements!$B$2:$B$20000,$A42,Movements!$C$2:$C$20000,"ADJUST-")</f>
        <v/>
      </c>
      <c r="F42" s="16" t="n">
        <v>50</v>
      </c>
      <c r="G42" s="23">
        <f>IF($E42&lt;=0,"OUT OF STOCK",IF(AND($F42&gt;0,$E42&lt;=$F42*0.2),"LOW STOCK","IN STOCK"))</f>
        <v/>
      </c>
    </row>
    <row r="43" ht="15" customHeight="1" s="13">
      <c r="A43" s="16" t="inlineStr">
        <is>
          <t>7254/1006</t>
        </is>
      </c>
      <c r="B43" s="16" t="inlineStr">
        <is>
          <t>G/Y Trirated 10MM</t>
        </is>
      </c>
      <c r="C43" s="16" t="inlineStr">
        <is>
          <t>NO</t>
        </is>
      </c>
      <c r="D43" s="16" t="n"/>
      <c r="E43" s="22">
        <f>SUMIFS(Movements!$D$2:$D$20000,Movements!$B$2:$B$20000,$A43,Movements!$C$2:$C$20000,"RECEIPT")+SUMIFS(Movements!$D$2:$D$20000,Movements!$B$2:$B$20000,$A43,Movements!$C$2:$C$20000,"RETURN")+SUMIFS(Movements!$D$2:$D$20000,Movements!$B$2:$B$20000,$A43,Movements!$C$2:$C$20000,"ADJUST+")-SUMIFS(Movements!$D$2:$D$20000,Movements!$B$2:$B$20000,$A43,Movements!$C$2:$C$20000,"ISSUE")-SUMIFS(Movements!$D$2:$D$20000,Movements!$B$2:$B$20000,$A43,Movements!$C$2:$C$20000,"SCRAP")-SUMIFS(Movements!$D$2:$D$20000,Movements!$B$2:$B$20000,$A43,Movements!$C$2:$C$20000,"ADJUST-")</f>
        <v/>
      </c>
      <c r="F43" s="16" t="n">
        <v>50</v>
      </c>
      <c r="G43" s="23">
        <f>IF($E43&lt;=0,"OUT OF STOCK",IF(AND($F43&gt;0,$E43&lt;=$F43*0.2),"LOW STOCK","IN STOCK"))</f>
        <v/>
      </c>
    </row>
    <row r="44" ht="15" customHeight="1" s="13">
      <c r="A44" s="16" t="inlineStr">
        <is>
          <t>7254/0406</t>
        </is>
      </c>
      <c r="B44" s="16" t="inlineStr">
        <is>
          <t>4 MM SQ. CABLE TRI -RATED CK GR-YE</t>
        </is>
      </c>
      <c r="C44" s="16" t="inlineStr">
        <is>
          <t>NO</t>
        </is>
      </c>
      <c r="D44" s="16" t="n"/>
      <c r="E44" s="22">
        <f>SUMIFS(Movements!$D$2:$D$20000,Movements!$B$2:$B$20000,$A44,Movements!$C$2:$C$20000,"RECEIPT")+SUMIFS(Movements!$D$2:$D$20000,Movements!$B$2:$B$20000,$A44,Movements!$C$2:$C$20000,"RETURN")+SUMIFS(Movements!$D$2:$D$20000,Movements!$B$2:$B$20000,$A44,Movements!$C$2:$C$20000,"ADJUST+")-SUMIFS(Movements!$D$2:$D$20000,Movements!$B$2:$B$20000,$A44,Movements!$C$2:$C$20000,"ISSUE")-SUMIFS(Movements!$D$2:$D$20000,Movements!$B$2:$B$20000,$A44,Movements!$C$2:$C$20000,"SCRAP")-SUMIFS(Movements!$D$2:$D$20000,Movements!$B$2:$B$20000,$A44,Movements!$C$2:$C$20000,"ADJUST-")</f>
        <v/>
      </c>
      <c r="F44" s="16" t="n">
        <v>50</v>
      </c>
      <c r="G44" s="23">
        <f>IF($E44&lt;=0,"OUT OF STOCK",IF(AND($F44&gt;0,$E44&lt;=$F44*0.2),"LOW STOCK","IN STOCK"))</f>
        <v/>
      </c>
    </row>
    <row r="45" ht="15" customHeight="1" s="13">
      <c r="A45" s="16" t="inlineStr">
        <is>
          <t>7241/0065</t>
        </is>
      </c>
      <c r="B45" s="16" t="inlineStr">
        <is>
          <t>FUSEHOLDER FIXING PLATE</t>
        </is>
      </c>
      <c r="C45" s="16" t="inlineStr">
        <is>
          <t>NO</t>
        </is>
      </c>
      <c r="D45" s="16" t="n"/>
      <c r="E45" s="22">
        <f>SUMIFS(Movements!$D$2:$D$20000,Movements!$B$2:$B$20000,$A45,Movements!$C$2:$C$20000,"RECEIPT")+SUMIFS(Movements!$D$2:$D$20000,Movements!$B$2:$B$20000,$A45,Movements!$C$2:$C$20000,"RETURN")+SUMIFS(Movements!$D$2:$D$20000,Movements!$B$2:$B$20000,$A45,Movements!$C$2:$C$20000,"ADJUST+")-SUMIFS(Movements!$D$2:$D$20000,Movements!$B$2:$B$20000,$A45,Movements!$C$2:$C$20000,"ISSUE")-SUMIFS(Movements!$D$2:$D$20000,Movements!$B$2:$B$20000,$A45,Movements!$C$2:$C$20000,"SCRAP")-SUMIFS(Movements!$D$2:$D$20000,Movements!$B$2:$B$20000,$A45,Movements!$C$2:$C$20000,"ADJUST-")</f>
        <v/>
      </c>
      <c r="F45" s="16" t="n">
        <v>50</v>
      </c>
      <c r="G45" s="23">
        <f>IF($E45&lt;=0,"OUT OF STOCK",IF(AND($F45&gt;0,$E45&lt;=$F45*0.2),"LOW STOCK","IN STOCK"))</f>
        <v/>
      </c>
    </row>
    <row r="46" ht="15" customHeight="1" s="13">
      <c r="A46" s="16" t="inlineStr">
        <is>
          <t>7000/3217</t>
        </is>
      </c>
      <c r="B46" s="16" t="inlineStr">
        <is>
          <t>HEATSHRINK SLEEVE PLAIN Rev.Lel.-01</t>
        </is>
      </c>
      <c r="C46" s="16" t="inlineStr">
        <is>
          <t>NO</t>
        </is>
      </c>
      <c r="D46" s="16" t="n"/>
      <c r="E46" s="22">
        <f>SUMIFS(Movements!$D$2:$D$20000,Movements!$B$2:$B$20000,$A46,Movements!$C$2:$C$20000,"RECEIPT")+SUMIFS(Movements!$D$2:$D$20000,Movements!$B$2:$B$20000,$A46,Movements!$C$2:$C$20000,"RETURN")+SUMIFS(Movements!$D$2:$D$20000,Movements!$B$2:$B$20000,$A46,Movements!$C$2:$C$20000,"ADJUST+")-SUMIFS(Movements!$D$2:$D$20000,Movements!$B$2:$B$20000,$A46,Movements!$C$2:$C$20000,"ISSUE")-SUMIFS(Movements!$D$2:$D$20000,Movements!$B$2:$B$20000,$A46,Movements!$C$2:$C$20000,"SCRAP")-SUMIFS(Movements!$D$2:$D$20000,Movements!$B$2:$B$20000,$A46,Movements!$C$2:$C$20000,"ADJUST-")</f>
        <v/>
      </c>
      <c r="F46" s="16" t="n">
        <v>50</v>
      </c>
      <c r="G46" s="23">
        <f>IF($E46&lt;=0,"OUT OF STOCK",IF(AND($F46&gt;0,$E46&lt;=$F46*0.2),"LOW STOCK","IN STOCK"))</f>
        <v/>
      </c>
    </row>
    <row r="47" ht="15" customHeight="1" s="13">
      <c r="A47" s="16" t="inlineStr">
        <is>
          <t>717/20129</t>
        </is>
      </c>
      <c r="B47" s="16" t="inlineStr">
        <is>
          <t>TERMINAL BOOT</t>
        </is>
      </c>
      <c r="C47" s="16" t="inlineStr">
        <is>
          <t>NO</t>
        </is>
      </c>
      <c r="D47" s="16" t="n"/>
      <c r="E47" s="22">
        <f>SUMIFS(Movements!$D$2:$D$20000,Movements!$B$2:$B$20000,$A47,Movements!$C$2:$C$20000,"RECEIPT")+SUMIFS(Movements!$D$2:$D$20000,Movements!$B$2:$B$20000,$A47,Movements!$C$2:$C$20000,"RETURN")+SUMIFS(Movements!$D$2:$D$20000,Movements!$B$2:$B$20000,$A47,Movements!$C$2:$C$20000,"ADJUST+")-SUMIFS(Movements!$D$2:$D$20000,Movements!$B$2:$B$20000,$A47,Movements!$C$2:$C$20000,"ISSUE")-SUMIFS(Movements!$D$2:$D$20000,Movements!$B$2:$B$20000,$A47,Movements!$C$2:$C$20000,"SCRAP")-SUMIFS(Movements!$D$2:$D$20000,Movements!$B$2:$B$20000,$A47,Movements!$C$2:$C$20000,"ADJUST-")</f>
        <v/>
      </c>
      <c r="F47" s="16" t="n">
        <v>50</v>
      </c>
      <c r="G47" s="23">
        <f>IF($E47&lt;=0,"OUT OF STOCK",IF(AND($F47&gt;0,$E47&lt;=$F47*0.2),"LOW STOCK","IN STOCK"))</f>
        <v/>
      </c>
    </row>
    <row r="48" ht="15" customHeight="1" s="13">
      <c r="A48" s="16" t="inlineStr">
        <is>
          <t>7243/0311</t>
        </is>
      </c>
      <c r="B48" s="16" t="inlineStr">
        <is>
          <t>SE RUBBER BOOT CABLE O.D</t>
        </is>
      </c>
      <c r="C48" s="16" t="inlineStr">
        <is>
          <t>NO</t>
        </is>
      </c>
      <c r="D48" s="16" t="n"/>
      <c r="E48" s="22">
        <f>SUMIFS(Movements!$D$2:$D$20000,Movements!$B$2:$B$20000,$A48,Movements!$C$2:$C$20000,"RECEIPT")+SUMIFS(Movements!$D$2:$D$20000,Movements!$B$2:$B$20000,$A48,Movements!$C$2:$C$20000,"RETURN")+SUMIFS(Movements!$D$2:$D$20000,Movements!$B$2:$B$20000,$A48,Movements!$C$2:$C$20000,"ADJUST+")-SUMIFS(Movements!$D$2:$D$20000,Movements!$B$2:$B$20000,$A48,Movements!$C$2:$C$20000,"ISSUE")-SUMIFS(Movements!$D$2:$D$20000,Movements!$B$2:$B$20000,$A48,Movements!$C$2:$C$20000,"SCRAP")-SUMIFS(Movements!$D$2:$D$20000,Movements!$B$2:$B$20000,$A48,Movements!$C$2:$C$20000,"ADJUST-")</f>
        <v/>
      </c>
      <c r="F48" s="16" t="n">
        <v>50</v>
      </c>
      <c r="G48" s="23">
        <f>IF($E48&lt;=0,"OUT OF STOCK",IF(AND($F48&gt;0,$E48&lt;=$F48*0.2),"LOW STOCK","IN STOCK"))</f>
        <v/>
      </c>
    </row>
    <row r="49" ht="15" customHeight="1" s="13">
      <c r="A49" s="16" t="inlineStr">
        <is>
          <t>7243/0305</t>
        </is>
      </c>
      <c r="B49" s="16" t="inlineStr">
        <is>
          <t>RUBBER CAP FOR M10&amp;M12 RI Rev.Lel.-01</t>
        </is>
      </c>
      <c r="C49" s="16" t="inlineStr">
        <is>
          <t>NO</t>
        </is>
      </c>
      <c r="D49" s="16" t="inlineStr">
        <is>
          <t>L-17</t>
        </is>
      </c>
      <c r="E49" s="22">
        <f>SUMIFS(Movements!$D$2:$D$20000,Movements!$B$2:$B$20000,$A49,Movements!$C$2:$C$20000,"RECEIPT")+SUMIFS(Movements!$D$2:$D$20000,Movements!$B$2:$B$20000,$A49,Movements!$C$2:$C$20000,"RETURN")+SUMIFS(Movements!$D$2:$D$20000,Movements!$B$2:$B$20000,$A49,Movements!$C$2:$C$20000,"ADJUST+")-SUMIFS(Movements!$D$2:$D$20000,Movements!$B$2:$B$20000,$A49,Movements!$C$2:$C$20000,"ISSUE")-SUMIFS(Movements!$D$2:$D$20000,Movements!$B$2:$B$20000,$A49,Movements!$C$2:$C$20000,"SCRAP")-SUMIFS(Movements!$D$2:$D$20000,Movements!$B$2:$B$20000,$A49,Movements!$C$2:$C$20000,"ADJUST-")</f>
        <v/>
      </c>
      <c r="F49" s="16" t="n">
        <v>50</v>
      </c>
      <c r="G49" s="23">
        <f>IF($E49&lt;=0,"OUT OF STOCK",IF(AND($F49&gt;0,$E49&lt;=$F49*0.2),"LOW STOCK","IN STOCK"))</f>
        <v/>
      </c>
    </row>
    <row r="50" ht="15" customHeight="1" s="13">
      <c r="A50" s="16" t="inlineStr">
        <is>
          <t>332/S1020</t>
        </is>
      </c>
      <c r="B50" s="16" t="inlineStr">
        <is>
          <t>BOLT AND WASHER 1/4UNC Rev.Lel.-01</t>
        </is>
      </c>
      <c r="C50" s="16" t="inlineStr">
        <is>
          <t>NO</t>
        </is>
      </c>
      <c r="D50" s="16" t="n"/>
      <c r="E50" s="22">
        <f>SUMIFS(Movements!$D$2:$D$20000,Movements!$B$2:$B$20000,$A50,Movements!$C$2:$C$20000,"RECEIPT")+SUMIFS(Movements!$D$2:$D$20000,Movements!$B$2:$B$20000,$A50,Movements!$C$2:$C$20000,"RETURN")+SUMIFS(Movements!$D$2:$D$20000,Movements!$B$2:$B$20000,$A50,Movements!$C$2:$C$20000,"ADJUST+")-SUMIFS(Movements!$D$2:$D$20000,Movements!$B$2:$B$20000,$A50,Movements!$C$2:$C$20000,"ISSUE")-SUMIFS(Movements!$D$2:$D$20000,Movements!$B$2:$B$20000,$A50,Movements!$C$2:$C$20000,"SCRAP")-SUMIFS(Movements!$D$2:$D$20000,Movements!$B$2:$B$20000,$A50,Movements!$C$2:$C$20000,"ADJUST-")</f>
        <v/>
      </c>
      <c r="F50" s="16" t="n">
        <v>50</v>
      </c>
      <c r="G50" s="23">
        <f>IF($E50&lt;=0,"OUT OF STOCK",IF(AND($F50&gt;0,$E50&lt;=$F50*0.2),"LOW STOCK","IN STOCK"))</f>
        <v/>
      </c>
    </row>
    <row r="51" ht="15" customHeight="1" s="13">
      <c r="A51" s="16" t="inlineStr">
        <is>
          <t>401/U6865</t>
        </is>
      </c>
      <c r="B51" s="16" t="inlineStr">
        <is>
          <t>RUBBER CAP FOR M10 TERMINAL</t>
        </is>
      </c>
      <c r="C51" s="16" t="inlineStr">
        <is>
          <t>NO</t>
        </is>
      </c>
      <c r="D51" s="16" t="n"/>
      <c r="E51" s="22">
        <f>SUMIFS(Movements!$D$2:$D$20000,Movements!$B$2:$B$20000,$A51,Movements!$C$2:$C$20000,"RECEIPT")+SUMIFS(Movements!$D$2:$D$20000,Movements!$B$2:$B$20000,$A51,Movements!$C$2:$C$20000,"RETURN")+SUMIFS(Movements!$D$2:$D$20000,Movements!$B$2:$B$20000,$A51,Movements!$C$2:$C$20000,"ADJUST+")-SUMIFS(Movements!$D$2:$D$20000,Movements!$B$2:$B$20000,$A51,Movements!$C$2:$C$20000,"ISSUE")-SUMIFS(Movements!$D$2:$D$20000,Movements!$B$2:$B$20000,$A51,Movements!$C$2:$C$20000,"SCRAP")-SUMIFS(Movements!$D$2:$D$20000,Movements!$B$2:$B$20000,$A51,Movements!$C$2:$C$20000,"ADJUST-")</f>
        <v/>
      </c>
      <c r="F51" s="16" t="n">
        <v>50</v>
      </c>
      <c r="G51" s="23">
        <f>IF($E51&lt;=0,"OUT OF STOCK",IF(AND($F51&gt;0,$E51&lt;=$F51*0.2),"LOW STOCK","IN STOCK"))</f>
        <v/>
      </c>
    </row>
    <row r="52" ht="15" customHeight="1" s="13">
      <c r="A52" s="16" t="inlineStr">
        <is>
          <t>7243/0530</t>
        </is>
      </c>
      <c r="B52" s="16" t="inlineStr">
        <is>
          <t>Alternator term cover (+ve) RED</t>
        </is>
      </c>
      <c r="C52" s="16" t="inlineStr">
        <is>
          <t>NO</t>
        </is>
      </c>
      <c r="D52" s="16" t="n"/>
      <c r="E52" s="22">
        <f>SUMIFS(Movements!$D$2:$D$20000,Movements!$B$2:$B$20000,$A52,Movements!$C$2:$C$20000,"RECEIPT")+SUMIFS(Movements!$D$2:$D$20000,Movements!$B$2:$B$20000,$A52,Movements!$C$2:$C$20000,"RETURN")+SUMIFS(Movements!$D$2:$D$20000,Movements!$B$2:$B$20000,$A52,Movements!$C$2:$C$20000,"ADJUST+")-SUMIFS(Movements!$D$2:$D$20000,Movements!$B$2:$B$20000,$A52,Movements!$C$2:$C$20000,"ISSUE")-SUMIFS(Movements!$D$2:$D$20000,Movements!$B$2:$B$20000,$A52,Movements!$C$2:$C$20000,"SCRAP")-SUMIFS(Movements!$D$2:$D$20000,Movements!$B$2:$B$20000,$A52,Movements!$C$2:$C$20000,"ADJUST-")</f>
        <v/>
      </c>
      <c r="F52" s="16" t="n">
        <v>50</v>
      </c>
      <c r="G52" s="23">
        <f>IF($E52&lt;=0,"OUT OF STOCK",IF(AND($F52&gt;0,$E52&lt;=$F52*0.2),"LOW STOCK","IN STOCK"))</f>
        <v/>
      </c>
    </row>
    <row r="53" ht="15" customHeight="1" s="13">
      <c r="A53" s="16" t="inlineStr">
        <is>
          <t>7000/3207</t>
        </is>
      </c>
      <c r="B53" s="16" t="inlineStr">
        <is>
          <t>SPLIT CONDUIT TUBING NC</t>
        </is>
      </c>
      <c r="C53" s="16" t="inlineStr">
        <is>
          <t>M</t>
        </is>
      </c>
      <c r="D53" s="16" t="n"/>
      <c r="E53" s="22">
        <f>SUMIFS(Movements!$D$2:$D$20000,Movements!$B$2:$B$20000,$A53,Movements!$C$2:$C$20000,"RECEIPT")+SUMIFS(Movements!$D$2:$D$20000,Movements!$B$2:$B$20000,$A53,Movements!$C$2:$C$20000,"RETURN")+SUMIFS(Movements!$D$2:$D$20000,Movements!$B$2:$B$20000,$A53,Movements!$C$2:$C$20000,"ADJUST+")-SUMIFS(Movements!$D$2:$D$20000,Movements!$B$2:$B$20000,$A53,Movements!$C$2:$C$20000,"ISSUE")-SUMIFS(Movements!$D$2:$D$20000,Movements!$B$2:$B$20000,$A53,Movements!$C$2:$C$20000,"SCRAP")-SUMIFS(Movements!$D$2:$D$20000,Movements!$B$2:$B$20000,$A53,Movements!$C$2:$C$20000,"ADJUST-")</f>
        <v/>
      </c>
      <c r="F53" s="16" t="n">
        <v>100</v>
      </c>
      <c r="G53" s="23">
        <f>IF($E53&lt;=0,"OUT OF STOCK",IF(AND($F53&gt;0,$E53&lt;=$F53*0.2),"LOW STOCK","IN STOCK"))</f>
        <v/>
      </c>
    </row>
    <row r="54" ht="15" customHeight="1" s="13">
      <c r="A54" s="16" t="inlineStr">
        <is>
          <t>7205/1000</t>
        </is>
      </c>
      <c r="B54" s="16" t="inlineStr">
        <is>
          <t>10.0MM2 BROWN BOOTLACE FE Rev.Lel.-02</t>
        </is>
      </c>
      <c r="C54" s="16" t="inlineStr">
        <is>
          <t>NO</t>
        </is>
      </c>
      <c r="D54" s="16" t="n"/>
      <c r="E54" s="22">
        <f>SUMIFS(Movements!$D$2:$D$20000,Movements!$B$2:$B$20000,$A54,Movements!$C$2:$C$20000,"RECEIPT")+SUMIFS(Movements!$D$2:$D$20000,Movements!$B$2:$B$20000,$A54,Movements!$C$2:$C$20000,"RETURN")+SUMIFS(Movements!$D$2:$D$20000,Movements!$B$2:$B$20000,$A54,Movements!$C$2:$C$20000,"ADJUST+")-SUMIFS(Movements!$D$2:$D$20000,Movements!$B$2:$B$20000,$A54,Movements!$C$2:$C$20000,"ISSUE")-SUMIFS(Movements!$D$2:$D$20000,Movements!$B$2:$B$20000,$A54,Movements!$C$2:$C$20000,"SCRAP")-SUMIFS(Movements!$D$2:$D$20000,Movements!$B$2:$B$20000,$A54,Movements!$C$2:$C$20000,"ADJUST-")</f>
        <v/>
      </c>
      <c r="F54" s="16" t="n">
        <v>50</v>
      </c>
      <c r="G54" s="23">
        <f>IF($E54&lt;=0,"OUT OF STOCK",IF(AND($F54&gt;0,$E54&lt;=$F54*0.2),"LOW STOCK","IN STOCK"))</f>
        <v/>
      </c>
    </row>
    <row r="55" ht="15" customHeight="1" s="13">
      <c r="A55" s="16" t="inlineStr">
        <is>
          <t>7207/2054</t>
        </is>
      </c>
      <c r="B55" s="16" t="inlineStr">
        <is>
          <t>RING TERMINAL M10 10.0-16 mmsq</t>
        </is>
      </c>
      <c r="C55" s="16" t="inlineStr">
        <is>
          <t>NO</t>
        </is>
      </c>
      <c r="D55" s="16" t="n"/>
      <c r="E55" s="22">
        <f>SUMIFS(Movements!$D$2:$D$20000,Movements!$B$2:$B$20000,$A55,Movements!$C$2:$C$20000,"RECEIPT")+SUMIFS(Movements!$D$2:$D$20000,Movements!$B$2:$B$20000,$A55,Movements!$C$2:$C$20000,"RETURN")+SUMIFS(Movements!$D$2:$D$20000,Movements!$B$2:$B$20000,$A55,Movements!$C$2:$C$20000,"ADJUST+")-SUMIFS(Movements!$D$2:$D$20000,Movements!$B$2:$B$20000,$A55,Movements!$C$2:$C$20000,"ISSUE")-SUMIFS(Movements!$D$2:$D$20000,Movements!$B$2:$B$20000,$A55,Movements!$C$2:$C$20000,"SCRAP")-SUMIFS(Movements!$D$2:$D$20000,Movements!$B$2:$B$20000,$A55,Movements!$C$2:$C$20000,"ADJUST-")</f>
        <v/>
      </c>
      <c r="F55" s="16" t="n">
        <v>50</v>
      </c>
      <c r="G55" s="23">
        <f>IF($E55&lt;=0,"OUT OF STOCK",IF(AND($F55&gt;0,$E55&lt;=$F55*0.2),"LOW STOCK","IN STOCK"))</f>
        <v/>
      </c>
    </row>
    <row r="56" ht="15" customHeight="1" s="13">
      <c r="A56" s="16" t="inlineStr">
        <is>
          <t>7207/1502</t>
        </is>
      </c>
      <c r="B56" s="16" t="inlineStr">
        <is>
          <t>RING TERMINAL M10 4.0-6.0</t>
        </is>
      </c>
      <c r="C56" s="16" t="inlineStr">
        <is>
          <t>NO</t>
        </is>
      </c>
      <c r="D56" s="16" t="n"/>
      <c r="E56" s="22">
        <f>SUMIFS(Movements!$D$2:$D$20000,Movements!$B$2:$B$20000,$A56,Movements!$C$2:$C$20000,"RECEIPT")+SUMIFS(Movements!$D$2:$D$20000,Movements!$B$2:$B$20000,$A56,Movements!$C$2:$C$20000,"RETURN")+SUMIFS(Movements!$D$2:$D$20000,Movements!$B$2:$B$20000,$A56,Movements!$C$2:$C$20000,"ADJUST+")-SUMIFS(Movements!$D$2:$D$20000,Movements!$B$2:$B$20000,$A56,Movements!$C$2:$C$20000,"ISSUE")-SUMIFS(Movements!$D$2:$D$20000,Movements!$B$2:$B$20000,$A56,Movements!$C$2:$C$20000,"SCRAP")-SUMIFS(Movements!$D$2:$D$20000,Movements!$B$2:$B$20000,$A56,Movements!$C$2:$C$20000,"ADJUST-")</f>
        <v/>
      </c>
      <c r="F56" s="16" t="n">
        <v>50</v>
      </c>
      <c r="G56" s="23">
        <f>IF($E56&lt;=0,"OUT OF STOCK",IF(AND($F56&gt;0,$E56&lt;=$F56*0.2),"LOW STOCK","IN STOCK"))</f>
        <v/>
      </c>
    </row>
    <row r="57" ht="15" customHeight="1" s="13">
      <c r="A57" s="16" t="inlineStr">
        <is>
          <t>7205/0250</t>
        </is>
      </c>
      <c r="B57" s="16" t="inlineStr">
        <is>
          <t>2.5MM2 Grey Bootlace ferrule Rev.Lel.-01</t>
        </is>
      </c>
      <c r="C57" s="16" t="inlineStr">
        <is>
          <t>NO</t>
        </is>
      </c>
      <c r="D57" s="16" t="n"/>
      <c r="E57" s="22">
        <f>SUMIFS(Movements!$D$2:$D$20000,Movements!$B$2:$B$20000,$A57,Movements!$C$2:$C$20000,"RECEIPT")+SUMIFS(Movements!$D$2:$D$20000,Movements!$B$2:$B$20000,$A57,Movements!$C$2:$C$20000,"RETURN")+SUMIFS(Movements!$D$2:$D$20000,Movements!$B$2:$B$20000,$A57,Movements!$C$2:$C$20000,"ADJUST+")-SUMIFS(Movements!$D$2:$D$20000,Movements!$B$2:$B$20000,$A57,Movements!$C$2:$C$20000,"ISSUE")-SUMIFS(Movements!$D$2:$D$20000,Movements!$B$2:$B$20000,$A57,Movements!$C$2:$C$20000,"SCRAP")-SUMIFS(Movements!$D$2:$D$20000,Movements!$B$2:$B$20000,$A57,Movements!$C$2:$C$20000,"ADJUST-")</f>
        <v/>
      </c>
      <c r="F57" s="16" t="n">
        <v>50</v>
      </c>
      <c r="G57" s="23">
        <f>IF($E57&lt;=0,"OUT OF STOCK",IF(AND($F57&gt;0,$E57&lt;=$F57*0.2),"LOW STOCK","IN STOCK"))</f>
        <v/>
      </c>
    </row>
    <row r="58" ht="15" customHeight="1" s="13">
      <c r="A58" s="16" t="inlineStr">
        <is>
          <t>7207/1501</t>
        </is>
      </c>
      <c r="B58" s="16" t="inlineStr">
        <is>
          <t>10.7MM RING TERMINAL (1.0-2.5 CSA) Rev.Lel.-03</t>
        </is>
      </c>
      <c r="C58" s="16" t="inlineStr">
        <is>
          <t>NO</t>
        </is>
      </c>
      <c r="D58" s="16" t="n"/>
      <c r="E58" s="22">
        <f>SUMIFS(Movements!$D$2:$D$20000,Movements!$B$2:$B$20000,$A58,Movements!$C$2:$C$20000,"RECEIPT")+SUMIFS(Movements!$D$2:$D$20000,Movements!$B$2:$B$20000,$A58,Movements!$C$2:$C$20000,"RETURN")+SUMIFS(Movements!$D$2:$D$20000,Movements!$B$2:$B$20000,$A58,Movements!$C$2:$C$20000,"ADJUST+")-SUMIFS(Movements!$D$2:$D$20000,Movements!$B$2:$B$20000,$A58,Movements!$C$2:$C$20000,"ISSUE")-SUMIFS(Movements!$D$2:$D$20000,Movements!$B$2:$B$20000,$A58,Movements!$C$2:$C$20000,"SCRAP")-SUMIFS(Movements!$D$2:$D$20000,Movements!$B$2:$B$20000,$A58,Movements!$C$2:$C$20000,"ADJUST-")</f>
        <v/>
      </c>
      <c r="F58" s="16" t="n">
        <v>50</v>
      </c>
      <c r="G58" s="23">
        <f>IF($E58&lt;=0,"OUT OF STOCK",IF(AND($F58&gt;0,$E58&lt;=$F58*0.2),"LOW STOCK","IN STOCK"))</f>
        <v/>
      </c>
    </row>
    <row r="59" ht="15" customHeight="1" s="13">
      <c r="A59" s="16" t="inlineStr">
        <is>
          <t>7208/1079</t>
        </is>
      </c>
      <c r="B59" s="16" t="inlineStr">
        <is>
          <t>12 WAY DT04 PIN HOUSING Rev.Lel.-03</t>
        </is>
      </c>
      <c r="C59" s="16" t="inlineStr">
        <is>
          <t>NO</t>
        </is>
      </c>
      <c r="D59" s="16" t="n"/>
      <c r="E59" s="22">
        <f>SUMIFS(Movements!$D$2:$D$20000,Movements!$B$2:$B$20000,$A59,Movements!$C$2:$C$20000,"RECEIPT")+SUMIFS(Movements!$D$2:$D$20000,Movements!$B$2:$B$20000,$A59,Movements!$C$2:$C$20000,"RETURN")+SUMIFS(Movements!$D$2:$D$20000,Movements!$B$2:$B$20000,$A59,Movements!$C$2:$C$20000,"ADJUST+")-SUMIFS(Movements!$D$2:$D$20000,Movements!$B$2:$B$20000,$A59,Movements!$C$2:$C$20000,"ISSUE")-SUMIFS(Movements!$D$2:$D$20000,Movements!$B$2:$B$20000,$A59,Movements!$C$2:$C$20000,"SCRAP")-SUMIFS(Movements!$D$2:$D$20000,Movements!$B$2:$B$20000,$A59,Movements!$C$2:$C$20000,"ADJUST-")</f>
        <v/>
      </c>
      <c r="F59" s="16" t="n">
        <v>50</v>
      </c>
      <c r="G59" s="23">
        <f>IF($E59&lt;=0,"OUT OF STOCK",IF(AND($F59&gt;0,$E59&lt;=$F59*0.2),"LOW STOCK","IN STOCK"))</f>
        <v/>
      </c>
    </row>
    <row r="60" ht="15" customHeight="1" s="13">
      <c r="A60" s="16" t="inlineStr">
        <is>
          <t>7207/1304</t>
        </is>
      </c>
      <c r="B60" s="16" t="inlineStr">
        <is>
          <t>Ring Cable Lug M6 16-25-Rev.Lel.-01</t>
        </is>
      </c>
      <c r="C60" s="16" t="inlineStr">
        <is>
          <t>NO</t>
        </is>
      </c>
      <c r="D60" s="16" t="n"/>
      <c r="E60" s="22">
        <f>SUMIFS(Movements!$D$2:$D$20000,Movements!$B$2:$B$20000,$A60,Movements!$C$2:$C$20000,"RECEIPT")+SUMIFS(Movements!$D$2:$D$20000,Movements!$B$2:$B$20000,$A60,Movements!$C$2:$C$20000,"RETURN")+SUMIFS(Movements!$D$2:$D$20000,Movements!$B$2:$B$20000,$A60,Movements!$C$2:$C$20000,"ADJUST+")-SUMIFS(Movements!$D$2:$D$20000,Movements!$B$2:$B$20000,$A60,Movements!$C$2:$C$20000,"ISSUE")-SUMIFS(Movements!$D$2:$D$20000,Movements!$B$2:$B$20000,$A60,Movements!$C$2:$C$20000,"SCRAP")-SUMIFS(Movements!$D$2:$D$20000,Movements!$B$2:$B$20000,$A60,Movements!$C$2:$C$20000,"ADJUST-")</f>
        <v/>
      </c>
      <c r="F60" s="16" t="n">
        <v>50</v>
      </c>
      <c r="G60" s="23">
        <f>IF($E60&lt;=0,"OUT OF STOCK",IF(AND($F60&gt;0,$E60&lt;=$F60*0.2),"LOW STOCK","IN STOCK"))</f>
        <v/>
      </c>
    </row>
    <row r="61" ht="15" customHeight="1" s="13">
      <c r="A61" s="16" t="inlineStr">
        <is>
          <t>7207/1405</t>
        </is>
      </c>
      <c r="B61" s="16" t="inlineStr">
        <is>
          <t>RING LUG TERMINAL M8 16.0-25.0</t>
        </is>
      </c>
      <c r="C61" s="16" t="inlineStr">
        <is>
          <t>NO</t>
        </is>
      </c>
      <c r="D61" s="16" t="n"/>
      <c r="E61" s="22">
        <f>SUMIFS(Movements!$D$2:$D$20000,Movements!$B$2:$B$20000,$A61,Movements!$C$2:$C$20000,"RECEIPT")+SUMIFS(Movements!$D$2:$D$20000,Movements!$B$2:$B$20000,$A61,Movements!$C$2:$C$20000,"RETURN")+SUMIFS(Movements!$D$2:$D$20000,Movements!$B$2:$B$20000,$A61,Movements!$C$2:$C$20000,"ADJUST+")-SUMIFS(Movements!$D$2:$D$20000,Movements!$B$2:$B$20000,$A61,Movements!$C$2:$C$20000,"ISSUE")-SUMIFS(Movements!$D$2:$D$20000,Movements!$B$2:$B$20000,$A61,Movements!$C$2:$C$20000,"SCRAP")-SUMIFS(Movements!$D$2:$D$20000,Movements!$B$2:$B$20000,$A61,Movements!$C$2:$C$20000,"ADJUST-")</f>
        <v/>
      </c>
      <c r="F61" s="16" t="n">
        <v>50</v>
      </c>
      <c r="G61" s="23">
        <f>IF($E61&lt;=0,"OUT OF STOCK",IF(AND($F61&gt;0,$E61&lt;=$F61*0.2),"LOW STOCK","IN STOCK"))</f>
        <v/>
      </c>
    </row>
    <row r="62" ht="15" customHeight="1" s="13">
      <c r="A62" s="16" t="inlineStr">
        <is>
          <t>7208/1081</t>
        </is>
      </c>
      <c r="B62" s="16" t="inlineStr">
        <is>
          <t>M10 Ring Lug Terminal 70-95mm²</t>
        </is>
      </c>
      <c r="C62" s="16" t="inlineStr">
        <is>
          <t>NO</t>
        </is>
      </c>
      <c r="D62" s="16" t="n"/>
      <c r="E62" s="22">
        <f>SUMIFS(Movements!$D$2:$D$20000,Movements!$B$2:$B$20000,$A62,Movements!$C$2:$C$20000,"RECEIPT")+SUMIFS(Movements!$D$2:$D$20000,Movements!$B$2:$B$20000,$A62,Movements!$C$2:$C$20000,"RETURN")+SUMIFS(Movements!$D$2:$D$20000,Movements!$B$2:$B$20000,$A62,Movements!$C$2:$C$20000,"ADJUST+")-SUMIFS(Movements!$D$2:$D$20000,Movements!$B$2:$B$20000,$A62,Movements!$C$2:$C$20000,"ISSUE")-SUMIFS(Movements!$D$2:$D$20000,Movements!$B$2:$B$20000,$A62,Movements!$C$2:$C$20000,"SCRAP")-SUMIFS(Movements!$D$2:$D$20000,Movements!$B$2:$B$20000,$A62,Movements!$C$2:$C$20000,"ADJUST-")</f>
        <v/>
      </c>
      <c r="F62" s="16" t="n">
        <v>50</v>
      </c>
      <c r="G62" s="23">
        <f>IF($E62&lt;=0,"OUT OF STOCK",IF(AND($F62&gt;0,$E62&lt;=$F62*0.2),"LOW STOCK","IN STOCK"))</f>
        <v/>
      </c>
    </row>
    <row r="63" ht="15" customHeight="1" s="13">
      <c r="A63" s="16" t="inlineStr">
        <is>
          <t>7207/1510</t>
        </is>
      </c>
      <c r="B63" s="16" t="inlineStr">
        <is>
          <t>GHT 35E 4WD PAI</t>
        </is>
      </c>
      <c r="C63" s="16" t="inlineStr">
        <is>
          <t>NO</t>
        </is>
      </c>
      <c r="D63" s="16" t="n"/>
      <c r="E63" s="22">
        <f>SUMIFS(Movements!$D$2:$D$20000,Movements!$B$2:$B$20000,$A63,Movements!$C$2:$C$20000,"RECEIPT")+SUMIFS(Movements!$D$2:$D$20000,Movements!$B$2:$B$20000,$A63,Movements!$C$2:$C$20000,"RETURN")+SUMIFS(Movements!$D$2:$D$20000,Movements!$B$2:$B$20000,$A63,Movements!$C$2:$C$20000,"ADJUST+")-SUMIFS(Movements!$D$2:$D$20000,Movements!$B$2:$B$20000,$A63,Movements!$C$2:$C$20000,"ISSUE")-SUMIFS(Movements!$D$2:$D$20000,Movements!$B$2:$B$20000,$A63,Movements!$C$2:$C$20000,"SCRAP")-SUMIFS(Movements!$D$2:$D$20000,Movements!$B$2:$B$20000,$A63,Movements!$C$2:$C$20000,"ADJUST-")</f>
        <v/>
      </c>
      <c r="F63" s="16" t="n">
        <v>50</v>
      </c>
      <c r="G63" s="23">
        <f>IF($E63&lt;=0,"OUT OF STOCK",IF(AND($F63&gt;0,$E63&lt;=$F63*0.2),"LOW STOCK","IN STOCK"))</f>
        <v/>
      </c>
    </row>
    <row r="64" ht="15" customHeight="1" s="13">
      <c r="A64" s="16" t="inlineStr">
        <is>
          <t>7208/1129</t>
        </is>
      </c>
      <c r="B64" s="16" t="inlineStr">
        <is>
          <t>M8 RING LUG TERMINAL 16MM</t>
        </is>
      </c>
      <c r="C64" s="16" t="inlineStr">
        <is>
          <t>NO</t>
        </is>
      </c>
      <c r="D64" s="16" t="n"/>
      <c r="E64" s="22">
        <f>SUMIFS(Movements!$D$2:$D$20000,Movements!$B$2:$B$20000,$A64,Movements!$C$2:$C$20000,"RECEIPT")+SUMIFS(Movements!$D$2:$D$20000,Movements!$B$2:$B$20000,$A64,Movements!$C$2:$C$20000,"RETURN")+SUMIFS(Movements!$D$2:$D$20000,Movements!$B$2:$B$20000,$A64,Movements!$C$2:$C$20000,"ADJUST+")-SUMIFS(Movements!$D$2:$D$20000,Movements!$B$2:$B$20000,$A64,Movements!$C$2:$C$20000,"ISSUE")-SUMIFS(Movements!$D$2:$D$20000,Movements!$B$2:$B$20000,$A64,Movements!$C$2:$C$20000,"SCRAP")-SUMIFS(Movements!$D$2:$D$20000,Movements!$B$2:$B$20000,$A64,Movements!$C$2:$C$20000,"ADJUST-")</f>
        <v/>
      </c>
      <c r="F64" s="16" t="n">
        <v>50</v>
      </c>
      <c r="G64" s="23">
        <f>IF($E64&lt;=0,"OUT OF STOCK",IF(AND($F64&gt;0,$E64&lt;=$F64*0.2),"LOW STOCK","IN STOCK"))</f>
        <v/>
      </c>
    </row>
    <row r="65" ht="15" customHeight="1" s="13">
      <c r="A65" s="16" t="inlineStr">
        <is>
          <t>7208/1007</t>
        </is>
      </c>
      <c r="B65" s="16" t="inlineStr">
        <is>
          <t>BATTERY CLAMP HC NEG Rev.Lel.-03</t>
        </is>
      </c>
      <c r="C65" s="16" t="inlineStr">
        <is>
          <t>NO</t>
        </is>
      </c>
      <c r="D65" s="16" t="n"/>
      <c r="E65" s="22">
        <f>SUMIFS(Movements!$D$2:$D$20000,Movements!$B$2:$B$20000,$A65,Movements!$C$2:$C$20000,"RECEIPT")+SUMIFS(Movements!$D$2:$D$20000,Movements!$B$2:$B$20000,$A65,Movements!$C$2:$C$20000,"RETURN")+SUMIFS(Movements!$D$2:$D$20000,Movements!$B$2:$B$20000,$A65,Movements!$C$2:$C$20000,"ADJUST+")-SUMIFS(Movements!$D$2:$D$20000,Movements!$B$2:$B$20000,$A65,Movements!$C$2:$C$20000,"ISSUE")-SUMIFS(Movements!$D$2:$D$20000,Movements!$B$2:$B$20000,$A65,Movements!$C$2:$C$20000,"SCRAP")-SUMIFS(Movements!$D$2:$D$20000,Movements!$B$2:$B$20000,$A65,Movements!$C$2:$C$20000,"ADJUST-")</f>
        <v/>
      </c>
      <c r="F65" s="16" t="n">
        <v>50</v>
      </c>
      <c r="G65" s="23">
        <f>IF($E65&lt;=0,"OUT OF STOCK",IF(AND($F65&gt;0,$E65&lt;=$F65*0.2),"LOW STOCK","IN STOCK"))</f>
        <v/>
      </c>
    </row>
    <row r="66" ht="15" customHeight="1" s="13">
      <c r="A66" s="16" t="inlineStr">
        <is>
          <t>7207/1316</t>
        </is>
      </c>
      <c r="B66" s="16" t="inlineStr">
        <is>
          <t>OUNTERWEIGHT 35E 4WD PAI</t>
        </is>
      </c>
      <c r="C66" s="16" t="inlineStr">
        <is>
          <t>NO</t>
        </is>
      </c>
      <c r="D66" s="16" t="n"/>
      <c r="E66" s="22">
        <f>SUMIFS(Movements!$D$2:$D$20000,Movements!$B$2:$B$20000,$A66,Movements!$C$2:$C$20000,"RECEIPT")+SUMIFS(Movements!$D$2:$D$20000,Movements!$B$2:$B$20000,$A66,Movements!$C$2:$C$20000,"RETURN")+SUMIFS(Movements!$D$2:$D$20000,Movements!$B$2:$B$20000,$A66,Movements!$C$2:$C$20000,"ADJUST+")-SUMIFS(Movements!$D$2:$D$20000,Movements!$B$2:$B$20000,$A66,Movements!$C$2:$C$20000,"ISSUE")-SUMIFS(Movements!$D$2:$D$20000,Movements!$B$2:$B$20000,$A66,Movements!$C$2:$C$20000,"SCRAP")-SUMIFS(Movements!$D$2:$D$20000,Movements!$B$2:$B$20000,$A66,Movements!$C$2:$C$20000,"ADJUST-")</f>
        <v/>
      </c>
      <c r="F66" s="16" t="n">
        <v>50</v>
      </c>
      <c r="G66" s="23">
        <f>IF($E66&lt;=0,"OUT OF STOCK",IF(AND($F66&gt;0,$E66&lt;=$F66*0.2),"LOW STOCK","IN STOCK"))</f>
        <v/>
      </c>
    </row>
    <row r="67" ht="15" customHeight="1" s="13">
      <c r="A67" s="16" t="inlineStr">
        <is>
          <t>7208/1022</t>
        </is>
      </c>
      <c r="B67" s="16" t="inlineStr">
        <is>
          <t>M8 RING TERM 70MM</t>
        </is>
      </c>
      <c r="C67" s="16" t="inlineStr">
        <is>
          <t>NO</t>
        </is>
      </c>
      <c r="D67" s="16" t="n"/>
      <c r="E67" s="22">
        <f>SUMIFS(Movements!$D$2:$D$20000,Movements!$B$2:$B$20000,$A67,Movements!$C$2:$C$20000,"RECEIPT")+SUMIFS(Movements!$D$2:$D$20000,Movements!$B$2:$B$20000,$A67,Movements!$C$2:$C$20000,"RETURN")+SUMIFS(Movements!$D$2:$D$20000,Movements!$B$2:$B$20000,$A67,Movements!$C$2:$C$20000,"ADJUST+")-SUMIFS(Movements!$D$2:$D$20000,Movements!$B$2:$B$20000,$A67,Movements!$C$2:$C$20000,"ISSUE")-SUMIFS(Movements!$D$2:$D$20000,Movements!$B$2:$B$20000,$A67,Movements!$C$2:$C$20000,"SCRAP")-SUMIFS(Movements!$D$2:$D$20000,Movements!$B$2:$B$20000,$A67,Movements!$C$2:$C$20000,"ADJUST-")</f>
        <v/>
      </c>
      <c r="F67" s="16" t="n">
        <v>50</v>
      </c>
      <c r="G67" s="23">
        <f>IF($E67&lt;=0,"OUT OF STOCK",IF(AND($F67&gt;0,$E67&lt;=$F67*0.2),"LOW STOCK","IN STOCK"))</f>
        <v/>
      </c>
    </row>
    <row r="68" ht="15" customHeight="1" s="13">
      <c r="A68" s="16" t="inlineStr">
        <is>
          <t>7207/1419</t>
        </is>
      </c>
      <c r="B68" s="16" t="inlineStr">
        <is>
          <t>RING TERMINAL M8 10.0-16.0</t>
        </is>
      </c>
      <c r="C68" s="16" t="inlineStr">
        <is>
          <t>NO</t>
        </is>
      </c>
      <c r="D68" s="16" t="n"/>
      <c r="E68" s="22">
        <f>SUMIFS(Movements!$D$2:$D$20000,Movements!$B$2:$B$20000,$A68,Movements!$C$2:$C$20000,"RECEIPT")+SUMIFS(Movements!$D$2:$D$20000,Movements!$B$2:$B$20000,$A68,Movements!$C$2:$C$20000,"RETURN")+SUMIFS(Movements!$D$2:$D$20000,Movements!$B$2:$B$20000,$A68,Movements!$C$2:$C$20000,"ADJUST+")-SUMIFS(Movements!$D$2:$D$20000,Movements!$B$2:$B$20000,$A68,Movements!$C$2:$C$20000,"ISSUE")-SUMIFS(Movements!$D$2:$D$20000,Movements!$B$2:$B$20000,$A68,Movements!$C$2:$C$20000,"SCRAP")-SUMIFS(Movements!$D$2:$D$20000,Movements!$B$2:$B$20000,$A68,Movements!$C$2:$C$20000,"ADJUST-")</f>
        <v/>
      </c>
      <c r="F68" s="16" t="n">
        <v>50</v>
      </c>
      <c r="G68" s="23">
        <f>IF($E68&lt;=0,"OUT OF STOCK",IF(AND($F68&gt;0,$E68&lt;=$F68*0.2),"LOW STOCK","IN STOCK"))</f>
        <v/>
      </c>
    </row>
    <row r="69" ht="15" customHeight="1" s="13">
      <c r="A69" s="16" t="inlineStr">
        <is>
          <t>7207/1505</t>
        </is>
      </c>
      <c r="B69" s="16" t="inlineStr">
        <is>
          <t>RING TERMINAL M10 16-25MM</t>
        </is>
      </c>
      <c r="C69" s="16" t="inlineStr">
        <is>
          <t>NO</t>
        </is>
      </c>
      <c r="D69" s="16" t="n"/>
      <c r="E69" s="22">
        <f>SUMIFS(Movements!$D$2:$D$20000,Movements!$B$2:$B$20000,$A69,Movements!$C$2:$C$20000,"RECEIPT")+SUMIFS(Movements!$D$2:$D$20000,Movements!$B$2:$B$20000,$A69,Movements!$C$2:$C$20000,"RETURN")+SUMIFS(Movements!$D$2:$D$20000,Movements!$B$2:$B$20000,$A69,Movements!$C$2:$C$20000,"ADJUST+")-SUMIFS(Movements!$D$2:$D$20000,Movements!$B$2:$B$20000,$A69,Movements!$C$2:$C$20000,"ISSUE")-SUMIFS(Movements!$D$2:$D$20000,Movements!$B$2:$B$20000,$A69,Movements!$C$2:$C$20000,"SCRAP")-SUMIFS(Movements!$D$2:$D$20000,Movements!$B$2:$B$20000,$A69,Movements!$C$2:$C$20000,"ADJUST-")</f>
        <v/>
      </c>
      <c r="F69" s="16" t="n">
        <v>50</v>
      </c>
      <c r="G69" s="23">
        <f>IF($E69&lt;=0,"OUT OF STOCK",IF(AND($F69&gt;0,$E69&lt;=$F69*0.2),"LOW STOCK","IN STOCK"))</f>
        <v/>
      </c>
    </row>
    <row r="70" ht="15" customHeight="1" s="13">
      <c r="A70" s="16" t="inlineStr">
        <is>
          <t>7208/1020</t>
        </is>
      </c>
      <c r="B70" s="16" t="inlineStr">
        <is>
          <t>M12 RING TERM 70MM-Rev.Lel.-03</t>
        </is>
      </c>
      <c r="C70" s="16" t="inlineStr">
        <is>
          <t>NO</t>
        </is>
      </c>
      <c r="D70" s="16" t="n"/>
      <c r="E70" s="22">
        <f>SUMIFS(Movements!$D$2:$D$20000,Movements!$B$2:$B$20000,$A70,Movements!$C$2:$C$20000,"RECEIPT")+SUMIFS(Movements!$D$2:$D$20000,Movements!$B$2:$B$20000,$A70,Movements!$C$2:$C$20000,"RETURN")+SUMIFS(Movements!$D$2:$D$20000,Movements!$B$2:$B$20000,$A70,Movements!$C$2:$C$20000,"ADJUST+")-SUMIFS(Movements!$D$2:$D$20000,Movements!$B$2:$B$20000,$A70,Movements!$C$2:$C$20000,"ISSUE")-SUMIFS(Movements!$D$2:$D$20000,Movements!$B$2:$B$20000,$A70,Movements!$C$2:$C$20000,"SCRAP")-SUMIFS(Movements!$D$2:$D$20000,Movements!$B$2:$B$20000,$A70,Movements!$C$2:$C$20000,"ADJUST-")</f>
        <v/>
      </c>
      <c r="F70" s="16" t="n">
        <v>50</v>
      </c>
      <c r="G70" s="23">
        <f>IF($E70&lt;=0,"OUT OF STOCK",IF(AND($F70&gt;0,$E70&lt;=$F70*0.2),"LOW STOCK","IN STOCK"))</f>
        <v/>
      </c>
    </row>
    <row r="71" ht="15" customHeight="1" s="13">
      <c r="A71" s="16" t="inlineStr">
        <is>
          <t>7208/1002</t>
        </is>
      </c>
      <c r="B71" s="16" t="inlineStr">
        <is>
          <t>POSITIVE BATT LUG WITH M8 CUBE</t>
        </is>
      </c>
      <c r="C71" s="16" t="inlineStr">
        <is>
          <t>NO</t>
        </is>
      </c>
      <c r="D71" s="16" t="n"/>
      <c r="E71" s="22">
        <f>SUMIFS(Movements!$D$2:$D$20000,Movements!$B$2:$B$20000,$A71,Movements!$C$2:$C$20000,"RECEIPT")+SUMIFS(Movements!$D$2:$D$20000,Movements!$B$2:$B$20000,$A71,Movements!$C$2:$C$20000,"RETURN")+SUMIFS(Movements!$D$2:$D$20000,Movements!$B$2:$B$20000,$A71,Movements!$C$2:$C$20000,"ADJUST+")-SUMIFS(Movements!$D$2:$D$20000,Movements!$B$2:$B$20000,$A71,Movements!$C$2:$C$20000,"ISSUE")-SUMIFS(Movements!$D$2:$D$20000,Movements!$B$2:$B$20000,$A71,Movements!$C$2:$C$20000,"SCRAP")-SUMIFS(Movements!$D$2:$D$20000,Movements!$B$2:$B$20000,$A71,Movements!$C$2:$C$20000,"ADJUST-")</f>
        <v/>
      </c>
      <c r="F71" s="16" t="n">
        <v>50</v>
      </c>
      <c r="G71" s="23">
        <f>IF($E71&lt;=0,"OUT OF STOCK",IF(AND($F71&gt;0,$E71&lt;=$F71*0.2),"LOW STOCK","IN STOCK"))</f>
        <v/>
      </c>
    </row>
    <row r="72" ht="15" customHeight="1" s="13">
      <c r="A72" s="16" t="inlineStr">
        <is>
          <t>7208/2017</t>
        </is>
      </c>
      <c r="B72" s="16" t="inlineStr">
        <is>
          <t>OUNTERWEIGHT 35E 4WD PAI</t>
        </is>
      </c>
      <c r="C72" s="16" t="inlineStr">
        <is>
          <t>NO</t>
        </is>
      </c>
      <c r="D72" s="16" t="n"/>
      <c r="E72" s="22">
        <f>SUMIFS(Movements!$D$2:$D$20000,Movements!$B$2:$B$20000,$A72,Movements!$C$2:$C$20000,"RECEIPT")+SUMIFS(Movements!$D$2:$D$20000,Movements!$B$2:$B$20000,$A72,Movements!$C$2:$C$20000,"RETURN")+SUMIFS(Movements!$D$2:$D$20000,Movements!$B$2:$B$20000,$A72,Movements!$C$2:$C$20000,"ADJUST+")-SUMIFS(Movements!$D$2:$D$20000,Movements!$B$2:$B$20000,$A72,Movements!$C$2:$C$20000,"ISSUE")-SUMIFS(Movements!$D$2:$D$20000,Movements!$B$2:$B$20000,$A72,Movements!$C$2:$C$20000,"SCRAP")-SUMIFS(Movements!$D$2:$D$20000,Movements!$B$2:$B$20000,$A72,Movements!$C$2:$C$20000,"ADJUST-")</f>
        <v/>
      </c>
      <c r="F72" s="16" t="n">
        <v>50</v>
      </c>
      <c r="G72" s="23">
        <f>IF($E72&lt;=0,"OUT OF STOCK",IF(AND($F72&gt;0,$E72&lt;=$F72*0.2),"LOW STOCK","IN STOCK"))</f>
        <v/>
      </c>
    </row>
    <row r="73" ht="15" customHeight="1" s="13">
      <c r="A73" s="16" t="inlineStr">
        <is>
          <t>7208/1060</t>
        </is>
      </c>
      <c r="B73" s="16" t="inlineStr">
        <is>
          <t>M10 RING LUG 35MM</t>
        </is>
      </c>
      <c r="C73" s="16" t="inlineStr">
        <is>
          <t>NO</t>
        </is>
      </c>
      <c r="D73" s="16" t="n"/>
      <c r="E73" s="22">
        <f>SUMIFS(Movements!$D$2:$D$20000,Movements!$B$2:$B$20000,$A73,Movements!$C$2:$C$20000,"RECEIPT")+SUMIFS(Movements!$D$2:$D$20000,Movements!$B$2:$B$20000,$A73,Movements!$C$2:$C$20000,"RETURN")+SUMIFS(Movements!$D$2:$D$20000,Movements!$B$2:$B$20000,$A73,Movements!$C$2:$C$20000,"ADJUST+")-SUMIFS(Movements!$D$2:$D$20000,Movements!$B$2:$B$20000,$A73,Movements!$C$2:$C$20000,"ISSUE")-SUMIFS(Movements!$D$2:$D$20000,Movements!$B$2:$B$20000,$A73,Movements!$C$2:$C$20000,"SCRAP")-SUMIFS(Movements!$D$2:$D$20000,Movements!$B$2:$B$20000,$A73,Movements!$C$2:$C$20000,"ADJUST-")</f>
        <v/>
      </c>
      <c r="F73" s="16" t="n">
        <v>50</v>
      </c>
      <c r="G73" s="23">
        <f>IF($E73&lt;=0,"OUT OF STOCK",IF(AND($F73&gt;0,$E73&lt;=$F73*0.2),"LOW STOCK","IN STOCK"))</f>
        <v/>
      </c>
    </row>
    <row r="74" ht="15" customHeight="1" s="13">
      <c r="A74" s="16" t="inlineStr">
        <is>
          <t>7208/1050</t>
        </is>
      </c>
      <c r="B74" s="16" t="inlineStr">
        <is>
          <t>OUNTERWEIGHT 35E 4WD PAI</t>
        </is>
      </c>
      <c r="C74" s="16" t="inlineStr">
        <is>
          <t>NO</t>
        </is>
      </c>
      <c r="D74" s="16" t="n"/>
      <c r="E74" s="22">
        <f>SUMIFS(Movements!$D$2:$D$20000,Movements!$B$2:$B$20000,$A74,Movements!$C$2:$C$20000,"RECEIPT")+SUMIFS(Movements!$D$2:$D$20000,Movements!$B$2:$B$20000,$A74,Movements!$C$2:$C$20000,"RETURN")+SUMIFS(Movements!$D$2:$D$20000,Movements!$B$2:$B$20000,$A74,Movements!$C$2:$C$20000,"ADJUST+")-SUMIFS(Movements!$D$2:$D$20000,Movements!$B$2:$B$20000,$A74,Movements!$C$2:$C$20000,"ISSUE")-SUMIFS(Movements!$D$2:$D$20000,Movements!$B$2:$B$20000,$A74,Movements!$C$2:$C$20000,"SCRAP")-SUMIFS(Movements!$D$2:$D$20000,Movements!$B$2:$B$20000,$A74,Movements!$C$2:$C$20000,"ADJUST-")</f>
        <v/>
      </c>
      <c r="F74" s="16" t="n">
        <v>50</v>
      </c>
      <c r="G74" s="23">
        <f>IF($E74&lt;=0,"OUT OF STOCK",IF(AND($F74&gt;0,$E74&lt;=$F74*0.2),"LOW STOCK","IN STOCK"))</f>
        <v/>
      </c>
    </row>
    <row r="75" ht="15" customHeight="1" s="13">
      <c r="A75" s="16" t="inlineStr">
        <is>
          <t>7208/1048</t>
        </is>
      </c>
      <c r="B75" s="16" t="inlineStr">
        <is>
          <t>M8 RING LUG 35MM-Rev.Lel.-01</t>
        </is>
      </c>
      <c r="C75" s="16" t="inlineStr">
        <is>
          <t>NO</t>
        </is>
      </c>
      <c r="D75" s="16" t="n"/>
      <c r="E75" s="22">
        <f>SUMIFS(Movements!$D$2:$D$20000,Movements!$B$2:$B$20000,$A75,Movements!$C$2:$C$20000,"RECEIPT")+SUMIFS(Movements!$D$2:$D$20000,Movements!$B$2:$B$20000,$A75,Movements!$C$2:$C$20000,"RETURN")+SUMIFS(Movements!$D$2:$D$20000,Movements!$B$2:$B$20000,$A75,Movements!$C$2:$C$20000,"ADJUST+")-SUMIFS(Movements!$D$2:$D$20000,Movements!$B$2:$B$20000,$A75,Movements!$C$2:$C$20000,"ISSUE")-SUMIFS(Movements!$D$2:$D$20000,Movements!$B$2:$B$20000,$A75,Movements!$C$2:$C$20000,"SCRAP")-SUMIFS(Movements!$D$2:$D$20000,Movements!$B$2:$B$20000,$A75,Movements!$C$2:$C$20000,"ADJUST-")</f>
        <v/>
      </c>
      <c r="F75" s="16" t="n">
        <v>50</v>
      </c>
      <c r="G75" s="23">
        <f>IF($E75&lt;=0,"OUT OF STOCK",IF(AND($F75&gt;0,$E75&lt;=$F75*0.2),"LOW STOCK","IN STOCK"))</f>
        <v/>
      </c>
    </row>
    <row r="76" ht="15" customHeight="1" s="13">
      <c r="A76" s="16" t="inlineStr">
        <is>
          <t>7207/1406</t>
        </is>
      </c>
      <c r="B76" s="16" t="inlineStr">
        <is>
          <t>ING LUG TERMINAL M8 25-35</t>
        </is>
      </c>
      <c r="C76" s="16" t="inlineStr">
        <is>
          <t>NO</t>
        </is>
      </c>
      <c r="D76" s="16" t="n"/>
      <c r="E76" s="22">
        <f>SUMIFS(Movements!$D$2:$D$20000,Movements!$B$2:$B$20000,$A76,Movements!$C$2:$C$20000,"RECEIPT")+SUMIFS(Movements!$D$2:$D$20000,Movements!$B$2:$B$20000,$A76,Movements!$C$2:$C$20000,"RETURN")+SUMIFS(Movements!$D$2:$D$20000,Movements!$B$2:$B$20000,$A76,Movements!$C$2:$C$20000,"ADJUST+")-SUMIFS(Movements!$D$2:$D$20000,Movements!$B$2:$B$20000,$A76,Movements!$C$2:$C$20000,"ISSUE")-SUMIFS(Movements!$D$2:$D$20000,Movements!$B$2:$B$20000,$A76,Movements!$C$2:$C$20000,"SCRAP")-SUMIFS(Movements!$D$2:$D$20000,Movements!$B$2:$B$20000,$A76,Movements!$C$2:$C$20000,"ADJUST-")</f>
        <v/>
      </c>
      <c r="F76" s="16" t="n">
        <v>50</v>
      </c>
      <c r="G76" s="23">
        <f>IF($E76&lt;=0,"OUT OF STOCK",IF(AND($F76&gt;0,$E76&lt;=$F76*0.2),"LOW STOCK","IN STOCK"))</f>
        <v/>
      </c>
    </row>
    <row r="77" ht="15" customHeight="1" s="13">
      <c r="A77" s="16" t="inlineStr">
        <is>
          <t>7238/0002</t>
        </is>
      </c>
      <c r="B77" s="16" t="inlineStr">
        <is>
          <t>8 Way MDK3 Radio Speaker Fem Hsg</t>
        </is>
      </c>
      <c r="C77" s="16" t="inlineStr">
        <is>
          <t>NO</t>
        </is>
      </c>
      <c r="D77" s="16" t="inlineStr">
        <is>
          <t>L-3</t>
        </is>
      </c>
      <c r="E77" s="22">
        <f>SUMIFS(Movements!$D$2:$D$20000,Movements!$B$2:$B$20000,$A77,Movements!$C$2:$C$20000,"RECEIPT")+SUMIFS(Movements!$D$2:$D$20000,Movements!$B$2:$B$20000,$A77,Movements!$C$2:$C$20000,"RETURN")+SUMIFS(Movements!$D$2:$D$20000,Movements!$B$2:$B$20000,$A77,Movements!$C$2:$C$20000,"ADJUST+")-SUMIFS(Movements!$D$2:$D$20000,Movements!$B$2:$B$20000,$A77,Movements!$C$2:$C$20000,"ISSUE")-SUMIFS(Movements!$D$2:$D$20000,Movements!$B$2:$B$20000,$A77,Movements!$C$2:$C$20000,"SCRAP")-SUMIFS(Movements!$D$2:$D$20000,Movements!$B$2:$B$20000,$A77,Movements!$C$2:$C$20000,"ADJUST-")</f>
        <v/>
      </c>
      <c r="F77" s="16" t="n">
        <v>20</v>
      </c>
      <c r="G77" s="23">
        <f>IF($E77&lt;=0,"OUT OF STOCK",IF(AND($F77&gt;0,$E77&lt;=$F77*0.2),"LOW STOCK","IN STOCK"))</f>
        <v/>
      </c>
    </row>
    <row r="78" ht="15" customHeight="1" s="13">
      <c r="A78" s="16" t="inlineStr">
        <is>
          <t>7238/0003</t>
        </is>
      </c>
      <c r="B78" s="16" t="inlineStr">
        <is>
          <t>8 Way MDK3 Radio Power Fem Hsg</t>
        </is>
      </c>
      <c r="C78" s="16" t="inlineStr">
        <is>
          <t>NO</t>
        </is>
      </c>
      <c r="D78" s="16" t="inlineStr">
        <is>
          <t>L-2</t>
        </is>
      </c>
      <c r="E78" s="22">
        <f>SUMIFS(Movements!$D$2:$D$20000,Movements!$B$2:$B$20000,$A78,Movements!$C$2:$C$20000,"RECEIPT")+SUMIFS(Movements!$D$2:$D$20000,Movements!$B$2:$B$20000,$A78,Movements!$C$2:$C$20000,"RETURN")+SUMIFS(Movements!$D$2:$D$20000,Movements!$B$2:$B$20000,$A78,Movements!$C$2:$C$20000,"ADJUST+")-SUMIFS(Movements!$D$2:$D$20000,Movements!$B$2:$B$20000,$A78,Movements!$C$2:$C$20000,"ISSUE")-SUMIFS(Movements!$D$2:$D$20000,Movements!$B$2:$B$20000,$A78,Movements!$C$2:$C$20000,"SCRAP")-SUMIFS(Movements!$D$2:$D$20000,Movements!$B$2:$B$20000,$A78,Movements!$C$2:$C$20000,"ADJUST-")</f>
        <v/>
      </c>
      <c r="F78" s="16" t="n">
        <v>25</v>
      </c>
      <c r="G78" s="23">
        <f>IF($E78&lt;=0,"OUT OF STOCK",IF(AND($F78&gt;0,$E78&lt;=$F78*0.2),"LOW STOCK","IN STOCK"))</f>
        <v/>
      </c>
    </row>
    <row r="79" ht="15" customHeight="1" s="13">
      <c r="A79" s="16" t="inlineStr">
        <is>
          <t>7214/0002</t>
        </is>
      </c>
      <c r="B79" s="16" t="inlineStr">
        <is>
          <t>4 WAY HW090 MALE HSG</t>
        </is>
      </c>
      <c r="C79" s="16" t="inlineStr">
        <is>
          <t>NO</t>
        </is>
      </c>
      <c r="D79" s="16" t="inlineStr">
        <is>
          <t>L-9</t>
        </is>
      </c>
      <c r="E79" s="22">
        <f>SUMIFS(Movements!$D$2:$D$20000,Movements!$B$2:$B$20000,$A79,Movements!$C$2:$C$20000,"RECEIPT")+SUMIFS(Movements!$D$2:$D$20000,Movements!$B$2:$B$20000,$A79,Movements!$C$2:$C$20000,"RETURN")+SUMIFS(Movements!$D$2:$D$20000,Movements!$B$2:$B$20000,$A79,Movements!$C$2:$C$20000,"ADJUST+")-SUMIFS(Movements!$D$2:$D$20000,Movements!$B$2:$B$20000,$A79,Movements!$C$2:$C$20000,"ISSUE")-SUMIFS(Movements!$D$2:$D$20000,Movements!$B$2:$B$20000,$A79,Movements!$C$2:$C$20000,"SCRAP")-SUMIFS(Movements!$D$2:$D$20000,Movements!$B$2:$B$20000,$A79,Movements!$C$2:$C$20000,"ADJUST-")</f>
        <v/>
      </c>
      <c r="F79" s="16" t="n">
        <v>14</v>
      </c>
      <c r="G79" s="23">
        <f>IF($E79&lt;=0,"OUT OF STOCK",IF(AND($F79&gt;0,$E79&lt;=$F79*0.2),"LOW STOCK","IN STOCK"))</f>
        <v/>
      </c>
    </row>
    <row r="80" ht="15" customHeight="1" s="13">
      <c r="A80" s="16" t="inlineStr">
        <is>
          <t>7216/0001</t>
        </is>
      </c>
      <c r="B80" s="16" t="inlineStr">
        <is>
          <t>6 Way HW090 Socket Housing</t>
        </is>
      </c>
      <c r="C80" s="16" t="inlineStr">
        <is>
          <t>NO</t>
        </is>
      </c>
      <c r="D80" s="16" t="inlineStr">
        <is>
          <t>L-15</t>
        </is>
      </c>
      <c r="E80" s="22">
        <f>SUMIFS(Movements!$D$2:$D$20000,Movements!$B$2:$B$20000,$A80,Movements!$C$2:$C$20000,"RECEIPT")+SUMIFS(Movements!$D$2:$D$20000,Movements!$B$2:$B$20000,$A80,Movements!$C$2:$C$20000,"RETURN")+SUMIFS(Movements!$D$2:$D$20000,Movements!$B$2:$B$20000,$A80,Movements!$C$2:$C$20000,"ADJUST+")-SUMIFS(Movements!$D$2:$D$20000,Movements!$B$2:$B$20000,$A80,Movements!$C$2:$C$20000,"ISSUE")-SUMIFS(Movements!$D$2:$D$20000,Movements!$B$2:$B$20000,$A80,Movements!$C$2:$C$20000,"SCRAP")-SUMIFS(Movements!$D$2:$D$20000,Movements!$B$2:$B$20000,$A80,Movements!$C$2:$C$20000,"ADJUST-")</f>
        <v/>
      </c>
      <c r="F80" s="16" t="n">
        <v>19</v>
      </c>
      <c r="G80" s="23">
        <f>IF($E80&lt;=0,"OUT OF STOCK",IF(AND($F80&gt;0,$E80&lt;=$F80*0.2),"LOW STOCK","IN STOCK"))</f>
        <v/>
      </c>
    </row>
    <row r="81" ht="15" customHeight="1" s="13">
      <c r="A81" s="16" t="inlineStr">
        <is>
          <t>7216/0002</t>
        </is>
      </c>
      <c r="B81" s="16" t="inlineStr">
        <is>
          <t>6 Way HW090 Pin Housing</t>
        </is>
      </c>
      <c r="C81" s="16" t="inlineStr">
        <is>
          <t>NO</t>
        </is>
      </c>
      <c r="D81" s="16" t="inlineStr">
        <is>
          <t>L-2</t>
        </is>
      </c>
      <c r="E81" s="22">
        <f>SUMIFS(Movements!$D$2:$D$20000,Movements!$B$2:$B$20000,$A81,Movements!$C$2:$C$20000,"RECEIPT")+SUMIFS(Movements!$D$2:$D$20000,Movements!$B$2:$B$20000,$A81,Movements!$C$2:$C$20000,"RETURN")+SUMIFS(Movements!$D$2:$D$20000,Movements!$B$2:$B$20000,$A81,Movements!$C$2:$C$20000,"ADJUST+")-SUMIFS(Movements!$D$2:$D$20000,Movements!$B$2:$B$20000,$A81,Movements!$C$2:$C$20000,"ISSUE")-SUMIFS(Movements!$D$2:$D$20000,Movements!$B$2:$B$20000,$A81,Movements!$C$2:$C$20000,"SCRAP")-SUMIFS(Movements!$D$2:$D$20000,Movements!$B$2:$B$20000,$A81,Movements!$C$2:$C$20000,"ADJUST-")</f>
        <v/>
      </c>
      <c r="F81" s="16" t="n">
        <v>19</v>
      </c>
      <c r="G81" s="23">
        <f>IF($E81&lt;=0,"OUT OF STOCK",IF(AND($F81&gt;0,$E81&lt;=$F81*0.2),"LOW STOCK","IN STOCK"))</f>
        <v/>
      </c>
    </row>
    <row r="82" ht="15" customHeight="1" s="13">
      <c r="A82" s="16" t="inlineStr">
        <is>
          <t>7211/0026</t>
        </is>
      </c>
      <c r="B82" s="16" t="inlineStr">
        <is>
          <t>1 WAY TS312 FEM HSG SEALED -Rev.Lel.-01</t>
        </is>
      </c>
      <c r="C82" s="16" t="inlineStr">
        <is>
          <t>NO</t>
        </is>
      </c>
      <c r="D82" s="16" t="inlineStr">
        <is>
          <t>BIN -6-04</t>
        </is>
      </c>
      <c r="E82" s="22">
        <f>SUMIFS(Movements!$D$2:$D$20000,Movements!$B$2:$B$20000,$A82,Movements!$C$2:$C$20000,"RECEIPT")+SUMIFS(Movements!$D$2:$D$20000,Movements!$B$2:$B$20000,$A82,Movements!$C$2:$C$20000,"RETURN")+SUMIFS(Movements!$D$2:$D$20000,Movements!$B$2:$B$20000,$A82,Movements!$C$2:$C$20000,"ADJUST+")-SUMIFS(Movements!$D$2:$D$20000,Movements!$B$2:$B$20000,$A82,Movements!$C$2:$C$20000,"ISSUE")-SUMIFS(Movements!$D$2:$D$20000,Movements!$B$2:$B$20000,$A82,Movements!$C$2:$C$20000,"SCRAP")-SUMIFS(Movements!$D$2:$D$20000,Movements!$B$2:$B$20000,$A82,Movements!$C$2:$C$20000,"ADJUST-")</f>
        <v/>
      </c>
      <c r="F82" s="16" t="n">
        <v>14</v>
      </c>
      <c r="G82" s="23">
        <f>IF($E82&lt;=0,"OUT OF STOCK",IF(AND($F82&gt;0,$E82&lt;=$F82*0.2),"LOW STOCK","IN STOCK"))</f>
        <v/>
      </c>
    </row>
    <row r="83" ht="15" customHeight="1" s="13">
      <c r="A83" s="16" t="inlineStr">
        <is>
          <t>7243/0282</t>
        </is>
      </c>
      <c r="B83" s="16" t="inlineStr">
        <is>
          <t>Adaptor 6 Way TYCO GET064Frankische</t>
        </is>
      </c>
      <c r="C83" s="16" t="inlineStr">
        <is>
          <t>NO</t>
        </is>
      </c>
      <c r="D83" s="16" t="inlineStr">
        <is>
          <t>L-12</t>
        </is>
      </c>
      <c r="E83" s="22">
        <f>SUMIFS(Movements!$D$2:$D$20000,Movements!$B$2:$B$20000,$A83,Movements!$C$2:$C$20000,"RECEIPT")+SUMIFS(Movements!$D$2:$D$20000,Movements!$B$2:$B$20000,$A83,Movements!$C$2:$C$20000,"RETURN")+SUMIFS(Movements!$D$2:$D$20000,Movements!$B$2:$B$20000,$A83,Movements!$C$2:$C$20000,"ADJUST+")-SUMIFS(Movements!$D$2:$D$20000,Movements!$B$2:$B$20000,$A83,Movements!$C$2:$C$20000,"ISSUE")-SUMIFS(Movements!$D$2:$D$20000,Movements!$B$2:$B$20000,$A83,Movements!$C$2:$C$20000,"SCRAP")-SUMIFS(Movements!$D$2:$D$20000,Movements!$B$2:$B$20000,$A83,Movements!$C$2:$C$20000,"ADJUST-")</f>
        <v/>
      </c>
      <c r="F83" s="16" t="n">
        <v>7</v>
      </c>
      <c r="G83" s="23">
        <f>IF($E83&lt;=0,"OUT OF STOCK",IF(AND($F83&gt;0,$E83&lt;=$F83*0.2),"LOW STOCK","IN STOCK"))</f>
        <v/>
      </c>
    </row>
    <row r="84" ht="15" customHeight="1" s="13">
      <c r="A84" s="16" t="inlineStr">
        <is>
          <t>7243/0383</t>
        </is>
      </c>
      <c r="B84" s="16" t="inlineStr">
        <is>
          <t>HDP Size 24 L017 Straight Adapter NC20/28</t>
        </is>
      </c>
      <c r="C84" s="16" t="inlineStr">
        <is>
          <t>NO</t>
        </is>
      </c>
      <c r="D84" s="16" t="inlineStr">
        <is>
          <t>L-15</t>
        </is>
      </c>
      <c r="E84" s="22">
        <f>SUMIFS(Movements!$D$2:$D$20000,Movements!$B$2:$B$20000,$A84,Movements!$C$2:$C$20000,"RECEIPT")+SUMIFS(Movements!$D$2:$D$20000,Movements!$B$2:$B$20000,$A84,Movements!$C$2:$C$20000,"RETURN")+SUMIFS(Movements!$D$2:$D$20000,Movements!$B$2:$B$20000,$A84,Movements!$C$2:$C$20000,"ADJUST+")-SUMIFS(Movements!$D$2:$D$20000,Movements!$B$2:$B$20000,$A84,Movements!$C$2:$C$20000,"ISSUE")-SUMIFS(Movements!$D$2:$D$20000,Movements!$B$2:$B$20000,$A84,Movements!$C$2:$C$20000,"SCRAP")-SUMIFS(Movements!$D$2:$D$20000,Movements!$B$2:$B$20000,$A84,Movements!$C$2:$C$20000,"ADJUST-")</f>
        <v/>
      </c>
      <c r="F84" s="16" t="n">
        <v>10</v>
      </c>
      <c r="G84" s="23">
        <f>IF($E84&lt;=0,"OUT OF STOCK",IF(AND($F84&gt;0,$E84&lt;=$F84*0.2),"LOW STOCK","IN STOCK"))</f>
        <v/>
      </c>
    </row>
    <row r="85" ht="15" customHeight="1" s="13">
      <c r="A85" s="16" t="inlineStr">
        <is>
          <t>7243/0318</t>
        </is>
      </c>
      <c r="B85" s="16" t="inlineStr">
        <is>
          <t>HDP Size 18 L017 Straight Adapter NC16/20</t>
        </is>
      </c>
      <c r="C85" s="16" t="inlineStr">
        <is>
          <t>NO</t>
        </is>
      </c>
      <c r="D85" s="16" t="inlineStr">
        <is>
          <t>L-12</t>
        </is>
      </c>
      <c r="E85" s="22">
        <f>SUMIFS(Movements!$D$2:$D$20000,Movements!$B$2:$B$20000,$A85,Movements!$C$2:$C$20000,"RECEIPT")+SUMIFS(Movements!$D$2:$D$20000,Movements!$B$2:$B$20000,$A85,Movements!$C$2:$C$20000,"RETURN")+SUMIFS(Movements!$D$2:$D$20000,Movements!$B$2:$B$20000,$A85,Movements!$C$2:$C$20000,"ADJUST+")-SUMIFS(Movements!$D$2:$D$20000,Movements!$B$2:$B$20000,$A85,Movements!$C$2:$C$20000,"ISSUE")-SUMIFS(Movements!$D$2:$D$20000,Movements!$B$2:$B$20000,$A85,Movements!$C$2:$C$20000,"SCRAP")-SUMIFS(Movements!$D$2:$D$20000,Movements!$B$2:$B$20000,$A85,Movements!$C$2:$C$20000,"ADJUST-")</f>
        <v/>
      </c>
      <c r="F85" s="16" t="n">
        <v>10</v>
      </c>
      <c r="G85" s="23">
        <f>IF($E85&lt;=0,"OUT OF STOCK",IF(AND($F85&gt;0,$E85&lt;=$F85*0.2),"LOW STOCK","IN STOCK"))</f>
        <v/>
      </c>
    </row>
    <row r="86" ht="15" customHeight="1" s="13">
      <c r="A86" s="16" t="inlineStr">
        <is>
          <t>7243/0323</t>
        </is>
      </c>
      <c r="B86" s="16" t="inlineStr">
        <is>
          <t>HDP Size 24 L017 Elbow Adapter NC20/32</t>
        </is>
      </c>
      <c r="C86" s="16" t="inlineStr">
        <is>
          <t>NO</t>
        </is>
      </c>
      <c r="D86" s="16" t="inlineStr">
        <is>
          <t>EMC-06</t>
        </is>
      </c>
      <c r="E86" s="22">
        <f>SUMIFS(Movements!$D$2:$D$20000,Movements!$B$2:$B$20000,$A86,Movements!$C$2:$C$20000,"RECEIPT")+SUMIFS(Movements!$D$2:$D$20000,Movements!$B$2:$B$20000,$A86,Movements!$C$2:$C$20000,"RETURN")+SUMIFS(Movements!$D$2:$D$20000,Movements!$B$2:$B$20000,$A86,Movements!$C$2:$C$20000,"ADJUST+")-SUMIFS(Movements!$D$2:$D$20000,Movements!$B$2:$B$20000,$A86,Movements!$C$2:$C$20000,"ISSUE")-SUMIFS(Movements!$D$2:$D$20000,Movements!$B$2:$B$20000,$A86,Movements!$C$2:$C$20000,"SCRAP")-SUMIFS(Movements!$D$2:$D$20000,Movements!$B$2:$B$20000,$A86,Movements!$C$2:$C$20000,"ADJUST-")</f>
        <v/>
      </c>
      <c r="F86" s="16" t="n">
        <v>17</v>
      </c>
      <c r="G86" s="23">
        <f>IF($E86&lt;=0,"OUT OF STOCK",IF(AND($F86&gt;0,$E86&lt;=$F86*0.2),"LOW STOCK","IN STOCK"))</f>
        <v/>
      </c>
    </row>
    <row r="87" ht="15" customHeight="1" s="13">
      <c r="A87" s="16" t="inlineStr">
        <is>
          <t>7243/0273</t>
        </is>
      </c>
      <c r="B87" s="16" t="inlineStr">
        <is>
          <t>1</t>
        </is>
      </c>
      <c r="C87" s="16" t="inlineStr">
        <is>
          <t>NO</t>
        </is>
      </c>
      <c r="D87" s="16" t="inlineStr">
        <is>
          <t>L-12</t>
        </is>
      </c>
      <c r="E87" s="22">
        <f>SUMIFS(Movements!$D$2:$D$20000,Movements!$B$2:$B$20000,$A87,Movements!$C$2:$C$20000,"RECEIPT")+SUMIFS(Movements!$D$2:$D$20000,Movements!$B$2:$B$20000,$A87,Movements!$C$2:$C$20000,"RETURN")+SUMIFS(Movements!$D$2:$D$20000,Movements!$B$2:$B$20000,$A87,Movements!$C$2:$C$20000,"ADJUST+")-SUMIFS(Movements!$D$2:$D$20000,Movements!$B$2:$B$20000,$A87,Movements!$C$2:$C$20000,"ISSUE")-SUMIFS(Movements!$D$2:$D$20000,Movements!$B$2:$B$20000,$A87,Movements!$C$2:$C$20000,"SCRAP")-SUMIFS(Movements!$D$2:$D$20000,Movements!$B$2:$B$20000,$A87,Movements!$C$2:$C$20000,"ADJUST-")</f>
        <v/>
      </c>
      <c r="F87" s="16" t="n">
        <v>14</v>
      </c>
      <c r="G87" s="23">
        <f>IF($E87&lt;=0,"OUT OF STOCK",IF(AND($F87&gt;0,$E87&lt;=$F87*0.2),"LOW STOCK","IN STOCK"))</f>
        <v/>
      </c>
    </row>
    <row r="88" ht="15" customHeight="1" s="13">
      <c r="A88" s="16" t="inlineStr">
        <is>
          <t>7212/0179</t>
        </is>
      </c>
      <c r="B88" s="16" t="inlineStr">
        <is>
          <t>2W AMPSEAL16 SLD SKT CONN KEY A RED</t>
        </is>
      </c>
      <c r="C88" s="16" t="inlineStr">
        <is>
          <t>NO</t>
        </is>
      </c>
      <c r="D88" s="16" t="inlineStr">
        <is>
          <t>L-12</t>
        </is>
      </c>
      <c r="E88" s="22">
        <f>SUMIFS(Movements!$D$2:$D$20000,Movements!$B$2:$B$20000,$A88,Movements!$C$2:$C$20000,"RECEIPT")+SUMIFS(Movements!$D$2:$D$20000,Movements!$B$2:$B$20000,$A88,Movements!$C$2:$C$20000,"RETURN")+SUMIFS(Movements!$D$2:$D$20000,Movements!$B$2:$B$20000,$A88,Movements!$C$2:$C$20000,"ADJUST+")-SUMIFS(Movements!$D$2:$D$20000,Movements!$B$2:$B$20000,$A88,Movements!$C$2:$C$20000,"ISSUE")-SUMIFS(Movements!$D$2:$D$20000,Movements!$B$2:$B$20000,$A88,Movements!$C$2:$C$20000,"SCRAP")-SUMIFS(Movements!$D$2:$D$20000,Movements!$B$2:$B$20000,$A88,Movements!$C$2:$C$20000,"ADJUST-")</f>
        <v/>
      </c>
      <c r="F88" s="16" t="n">
        <v>10</v>
      </c>
      <c r="G88" s="23">
        <f>IF($E88&lt;=0,"OUT OF STOCK",IF(AND($F88&gt;0,$E88&lt;=$F88*0.2),"LOW STOCK","IN STOCK"))</f>
        <v/>
      </c>
    </row>
    <row r="89" ht="15" customHeight="1" s="13">
      <c r="A89" s="16" t="inlineStr">
        <is>
          <t>7212/0080</t>
        </is>
      </c>
      <c r="B89" s="16" t="inlineStr">
        <is>
          <t>2 WAY DT04 PIN HSG NO END CAP</t>
        </is>
      </c>
      <c r="C89" s="16" t="inlineStr">
        <is>
          <t>NO</t>
        </is>
      </c>
      <c r="D89" s="16" t="inlineStr">
        <is>
          <t>L-12</t>
        </is>
      </c>
      <c r="E89" s="22">
        <f>SUMIFS(Movements!$D$2:$D$20000,Movements!$B$2:$B$20000,$A89,Movements!$C$2:$C$20000,"RECEIPT")+SUMIFS(Movements!$D$2:$D$20000,Movements!$B$2:$B$20000,$A89,Movements!$C$2:$C$20000,"RETURN")+SUMIFS(Movements!$D$2:$D$20000,Movements!$B$2:$B$20000,$A89,Movements!$C$2:$C$20000,"ADJUST+")-SUMIFS(Movements!$D$2:$D$20000,Movements!$B$2:$B$20000,$A89,Movements!$C$2:$C$20000,"ISSUE")-SUMIFS(Movements!$D$2:$D$20000,Movements!$B$2:$B$20000,$A89,Movements!$C$2:$C$20000,"SCRAP")-SUMIFS(Movements!$D$2:$D$20000,Movements!$B$2:$B$20000,$A89,Movements!$C$2:$C$20000,"ADJUST-")</f>
        <v/>
      </c>
      <c r="F89" s="16" t="n">
        <v>14</v>
      </c>
      <c r="G89" s="23">
        <f>IF($E89&lt;=0,"OUT OF STOCK",IF(AND($F89&gt;0,$E89&lt;=$F89*0.2),"LOW STOCK","IN STOCK"))</f>
        <v/>
      </c>
    </row>
    <row r="90" ht="15" customHeight="1" s="13">
      <c r="A90" s="16" t="inlineStr">
        <is>
          <t>7212/0051</t>
        </is>
      </c>
      <c r="B90" s="16" t="inlineStr">
        <is>
          <t>2 Way DT04 Pin Housing</t>
        </is>
      </c>
      <c r="C90" s="16" t="inlineStr">
        <is>
          <t>NO</t>
        </is>
      </c>
      <c r="D90" s="16" t="inlineStr">
        <is>
          <t>D2-2</t>
        </is>
      </c>
      <c r="E90" s="22">
        <f>SUMIFS(Movements!$D$2:$D$20000,Movements!$B$2:$B$20000,$A90,Movements!$C$2:$C$20000,"RECEIPT")+SUMIFS(Movements!$D$2:$D$20000,Movements!$B$2:$B$20000,$A90,Movements!$C$2:$C$20000,"RETURN")+SUMIFS(Movements!$D$2:$D$20000,Movements!$B$2:$B$20000,$A90,Movements!$C$2:$C$20000,"ADJUST+")-SUMIFS(Movements!$D$2:$D$20000,Movements!$B$2:$B$20000,$A90,Movements!$C$2:$C$20000,"ISSUE")-SUMIFS(Movements!$D$2:$D$20000,Movements!$B$2:$B$20000,$A90,Movements!$C$2:$C$20000,"SCRAP")-SUMIFS(Movements!$D$2:$D$20000,Movements!$B$2:$B$20000,$A90,Movements!$C$2:$C$20000,"ADJUST-")</f>
        <v/>
      </c>
      <c r="F90" s="16" t="n">
        <v>40</v>
      </c>
      <c r="G90" s="23">
        <f>IF($E90&lt;=0,"OUT OF STOCK",IF(AND($F90&gt;0,$E90&lt;=$F90*0.2),"LOW STOCK","IN STOCK"))</f>
        <v/>
      </c>
    </row>
    <row r="91" ht="15" customHeight="1" s="13">
      <c r="A91" s="16" t="inlineStr">
        <is>
          <t>7212/0121</t>
        </is>
      </c>
      <c r="B91" s="16" t="inlineStr">
        <is>
          <t>2 Way FASTIN FASTON HOUSING</t>
        </is>
      </c>
      <c r="C91" s="16" t="inlineStr">
        <is>
          <t>NO</t>
        </is>
      </c>
      <c r="D91" s="16" t="inlineStr">
        <is>
          <t>BIN -6-04</t>
        </is>
      </c>
      <c r="E91" s="22">
        <f>SUMIFS(Movements!$D$2:$D$20000,Movements!$B$2:$B$20000,$A91,Movements!$C$2:$C$20000,"RECEIPT")+SUMIFS(Movements!$D$2:$D$20000,Movements!$B$2:$B$20000,$A91,Movements!$C$2:$C$20000,"RETURN")+SUMIFS(Movements!$D$2:$D$20000,Movements!$B$2:$B$20000,$A91,Movements!$C$2:$C$20000,"ADJUST+")-SUMIFS(Movements!$D$2:$D$20000,Movements!$B$2:$B$20000,$A91,Movements!$C$2:$C$20000,"ISSUE")-SUMIFS(Movements!$D$2:$D$20000,Movements!$B$2:$B$20000,$A91,Movements!$C$2:$C$20000,"SCRAP")-SUMIFS(Movements!$D$2:$D$20000,Movements!$B$2:$B$20000,$A91,Movements!$C$2:$C$20000,"ADJUST-")</f>
        <v/>
      </c>
      <c r="F91" s="16" t="n">
        <v>14</v>
      </c>
      <c r="G91" s="23">
        <f>IF($E91&lt;=0,"OUT OF STOCK",IF(AND($F91&gt;0,$E91&lt;=$F91*0.2),"LOW STOCK","IN STOCK"))</f>
        <v/>
      </c>
    </row>
    <row r="92" ht="15" customHeight="1" s="13">
      <c r="A92" s="16" t="inlineStr">
        <is>
          <t>7214/0025</t>
        </is>
      </c>
      <c r="B92" s="16" t="inlineStr">
        <is>
          <t>4 Way DT06 Socket Housing</t>
        </is>
      </c>
      <c r="C92" s="16" t="inlineStr">
        <is>
          <t>NO</t>
        </is>
      </c>
      <c r="D92" s="16" t="inlineStr">
        <is>
          <t>L-1</t>
        </is>
      </c>
      <c r="E92" s="22">
        <f>SUMIFS(Movements!$D$2:$D$20000,Movements!$B$2:$B$20000,$A92,Movements!$C$2:$C$20000,"RECEIPT")+SUMIFS(Movements!$D$2:$D$20000,Movements!$B$2:$B$20000,$A92,Movements!$C$2:$C$20000,"RETURN")+SUMIFS(Movements!$D$2:$D$20000,Movements!$B$2:$B$20000,$A92,Movements!$C$2:$C$20000,"ADJUST+")-SUMIFS(Movements!$D$2:$D$20000,Movements!$B$2:$B$20000,$A92,Movements!$C$2:$C$20000,"ISSUE")-SUMIFS(Movements!$D$2:$D$20000,Movements!$B$2:$B$20000,$A92,Movements!$C$2:$C$20000,"SCRAP")-SUMIFS(Movements!$D$2:$D$20000,Movements!$B$2:$B$20000,$A92,Movements!$C$2:$C$20000,"ADJUST-")</f>
        <v/>
      </c>
      <c r="F92" s="16" t="n">
        <v>7</v>
      </c>
      <c r="G92" s="23">
        <f>IF($E92&lt;=0,"OUT OF STOCK",IF(AND($F92&gt;0,$E92&lt;=$F92*0.2),"LOW STOCK","IN STOCK"))</f>
        <v/>
      </c>
    </row>
    <row r="93" ht="15" customHeight="1" s="13">
      <c r="A93" s="16" t="inlineStr">
        <is>
          <t>7219/0248</t>
        </is>
      </c>
      <c r="B93" s="16" t="inlineStr">
        <is>
          <t>16 WAY DL090 FEM SEALED H</t>
        </is>
      </c>
      <c r="C93" s="16" t="inlineStr">
        <is>
          <t>NO</t>
        </is>
      </c>
      <c r="D93" s="16" t="inlineStr">
        <is>
          <t>L-12</t>
        </is>
      </c>
      <c r="E93" s="22">
        <f>SUMIFS(Movements!$D$2:$D$20000,Movements!$B$2:$B$20000,$A93,Movements!$C$2:$C$20000,"RECEIPT")+SUMIFS(Movements!$D$2:$D$20000,Movements!$B$2:$B$20000,$A93,Movements!$C$2:$C$20000,"RETURN")+SUMIFS(Movements!$D$2:$D$20000,Movements!$B$2:$B$20000,$A93,Movements!$C$2:$C$20000,"ADJUST+")-SUMIFS(Movements!$D$2:$D$20000,Movements!$B$2:$B$20000,$A93,Movements!$C$2:$C$20000,"ISSUE")-SUMIFS(Movements!$D$2:$D$20000,Movements!$B$2:$B$20000,$A93,Movements!$C$2:$C$20000,"SCRAP")-SUMIFS(Movements!$D$2:$D$20000,Movements!$B$2:$B$20000,$A93,Movements!$C$2:$C$20000,"ADJUST-")</f>
        <v/>
      </c>
      <c r="F93" s="16" t="n">
        <v>14</v>
      </c>
      <c r="G93" s="23">
        <f>IF($E93&lt;=0,"OUT OF STOCK",IF(AND($F93&gt;0,$E93&lt;=$F93*0.2),"LOW STOCK","IN STOCK"))</f>
        <v/>
      </c>
    </row>
    <row r="94" ht="15" customHeight="1" s="13">
      <c r="A94" s="16" t="inlineStr">
        <is>
          <t>7219/0249</t>
        </is>
      </c>
      <c r="B94" s="16" t="inlineStr">
        <is>
          <t>16 Way DL090 male sealed Hsg</t>
        </is>
      </c>
      <c r="C94" s="16" t="inlineStr">
        <is>
          <t>NO</t>
        </is>
      </c>
      <c r="D94" s="16" t="inlineStr">
        <is>
          <t>L-15</t>
        </is>
      </c>
      <c r="E94" s="22">
        <f>SUMIFS(Movements!$D$2:$D$20000,Movements!$B$2:$B$20000,$A94,Movements!$C$2:$C$20000,"RECEIPT")+SUMIFS(Movements!$D$2:$D$20000,Movements!$B$2:$B$20000,$A94,Movements!$C$2:$C$20000,"RETURN")+SUMIFS(Movements!$D$2:$D$20000,Movements!$B$2:$B$20000,$A94,Movements!$C$2:$C$20000,"ADJUST+")-SUMIFS(Movements!$D$2:$D$20000,Movements!$B$2:$B$20000,$A94,Movements!$C$2:$C$20000,"ISSUE")-SUMIFS(Movements!$D$2:$D$20000,Movements!$B$2:$B$20000,$A94,Movements!$C$2:$C$20000,"SCRAP")-SUMIFS(Movements!$D$2:$D$20000,Movements!$B$2:$B$20000,$A94,Movements!$C$2:$C$20000,"ADJUST-")</f>
        <v/>
      </c>
      <c r="F94" s="16" t="n">
        <v>14</v>
      </c>
      <c r="G94" s="23">
        <f>IF($E94&lt;=0,"OUT OF STOCK",IF(AND($F94&gt;0,$E94&lt;=$F94*0.2),"LOW STOCK","IN STOCK"))</f>
        <v/>
      </c>
    </row>
    <row r="95" ht="15" customHeight="1" s="13">
      <c r="A95" s="16" t="inlineStr">
        <is>
          <t>7219/0191</t>
        </is>
      </c>
      <c r="B95" s="16" t="inlineStr">
        <is>
          <t>21 WAY HDP SOCKET HOUSING</t>
        </is>
      </c>
      <c r="C95" s="16" t="inlineStr">
        <is>
          <t>NO</t>
        </is>
      </c>
      <c r="D95" s="16" t="inlineStr">
        <is>
          <t>L-14</t>
        </is>
      </c>
      <c r="E95" s="22">
        <f>SUMIFS(Movements!$D$2:$D$20000,Movements!$B$2:$B$20000,$A95,Movements!$C$2:$C$20000,"RECEIPT")+SUMIFS(Movements!$D$2:$D$20000,Movements!$B$2:$B$20000,$A95,Movements!$C$2:$C$20000,"RETURN")+SUMIFS(Movements!$D$2:$D$20000,Movements!$B$2:$B$20000,$A95,Movements!$C$2:$C$20000,"ADJUST+")-SUMIFS(Movements!$D$2:$D$20000,Movements!$B$2:$B$20000,$A95,Movements!$C$2:$C$20000,"ISSUE")-SUMIFS(Movements!$D$2:$D$20000,Movements!$B$2:$B$20000,$A95,Movements!$C$2:$C$20000,"SCRAP")-SUMIFS(Movements!$D$2:$D$20000,Movements!$B$2:$B$20000,$A95,Movements!$C$2:$C$20000,"ADJUST-")</f>
        <v/>
      </c>
      <c r="F95" s="16" t="n">
        <v>7</v>
      </c>
      <c r="G95" s="23">
        <f>IF($E95&lt;=0,"OUT OF STOCK",IF(AND($F95&gt;0,$E95&lt;=$F95*0.2),"LOW STOCK","IN STOCK"))</f>
        <v/>
      </c>
    </row>
    <row r="96" ht="15" customHeight="1" s="13">
      <c r="A96" s="16" t="inlineStr">
        <is>
          <t>7216/0074</t>
        </is>
      </c>
      <c r="B96" s="16" t="inlineStr">
        <is>
          <t>6 WAY GT150 FEM CONNECTOR</t>
        </is>
      </c>
      <c r="C96" s="16" t="inlineStr">
        <is>
          <t>NO</t>
        </is>
      </c>
      <c r="D96" s="16" t="inlineStr">
        <is>
          <t>L-12</t>
        </is>
      </c>
      <c r="E96" s="22">
        <f>SUMIFS(Movements!$D$2:$D$20000,Movements!$B$2:$B$20000,$A96,Movements!$C$2:$C$20000,"RECEIPT")+SUMIFS(Movements!$D$2:$D$20000,Movements!$B$2:$B$20000,$A96,Movements!$C$2:$C$20000,"RETURN")+SUMIFS(Movements!$D$2:$D$20000,Movements!$B$2:$B$20000,$A96,Movements!$C$2:$C$20000,"ADJUST+")-SUMIFS(Movements!$D$2:$D$20000,Movements!$B$2:$B$20000,$A96,Movements!$C$2:$C$20000,"ISSUE")-SUMIFS(Movements!$D$2:$D$20000,Movements!$B$2:$B$20000,$A96,Movements!$C$2:$C$20000,"SCRAP")-SUMIFS(Movements!$D$2:$D$20000,Movements!$B$2:$B$20000,$A96,Movements!$C$2:$C$20000,"ADJUST-")</f>
        <v/>
      </c>
      <c r="F96" s="16" t="n">
        <v>14</v>
      </c>
      <c r="G96" s="23">
        <f>IF($E96&lt;=0,"OUT OF STOCK",IF(AND($F96&gt;0,$E96&lt;=$F96*0.2),"LOW STOCK","IN STOCK"))</f>
        <v/>
      </c>
    </row>
    <row r="97" ht="15" customHeight="1" s="13">
      <c r="A97" s="16" t="inlineStr">
        <is>
          <t>7213/0032</t>
        </is>
      </c>
      <c r="B97" s="16" t="inlineStr">
        <is>
          <t>3 Way DTM04 Pin Housing</t>
        </is>
      </c>
      <c r="C97" s="16" t="inlineStr">
        <is>
          <t>NO</t>
        </is>
      </c>
      <c r="D97" s="16" t="inlineStr">
        <is>
          <t>M-1</t>
        </is>
      </c>
      <c r="E97" s="22">
        <f>SUMIFS(Movements!$D$2:$D$20000,Movements!$B$2:$B$20000,$A97,Movements!$C$2:$C$20000,"RECEIPT")+SUMIFS(Movements!$D$2:$D$20000,Movements!$B$2:$B$20000,$A97,Movements!$C$2:$C$20000,"RETURN")+SUMIFS(Movements!$D$2:$D$20000,Movements!$B$2:$B$20000,$A97,Movements!$C$2:$C$20000,"ADJUST+")-SUMIFS(Movements!$D$2:$D$20000,Movements!$B$2:$B$20000,$A97,Movements!$C$2:$C$20000,"ISSUE")-SUMIFS(Movements!$D$2:$D$20000,Movements!$B$2:$B$20000,$A97,Movements!$C$2:$C$20000,"SCRAP")-SUMIFS(Movements!$D$2:$D$20000,Movements!$B$2:$B$20000,$A97,Movements!$C$2:$C$20000,"ADJUST-")</f>
        <v/>
      </c>
      <c r="F97" s="16" t="n">
        <v>7</v>
      </c>
      <c r="G97" s="23">
        <f>IF($E97&lt;=0,"OUT OF STOCK",IF(AND($F97&gt;0,$E97&lt;=$F97*0.2),"LOW STOCK","IN STOCK"))</f>
        <v/>
      </c>
    </row>
    <row r="98" ht="15" customHeight="1" s="13">
      <c r="A98" s="16" t="inlineStr">
        <is>
          <t>7218/0083</t>
        </is>
      </c>
      <c r="B98" s="16" t="inlineStr">
        <is>
          <t>8 WAY MX150 SOCKET HSG KEY A</t>
        </is>
      </c>
      <c r="C98" s="16" t="inlineStr">
        <is>
          <t>NO</t>
        </is>
      </c>
      <c r="D98" s="16" t="inlineStr">
        <is>
          <t>L-13</t>
        </is>
      </c>
      <c r="E98" s="22">
        <f>SUMIFS(Movements!$D$2:$D$20000,Movements!$B$2:$B$20000,$A98,Movements!$C$2:$C$20000,"RECEIPT")+SUMIFS(Movements!$D$2:$D$20000,Movements!$B$2:$B$20000,$A98,Movements!$C$2:$C$20000,"RETURN")+SUMIFS(Movements!$D$2:$D$20000,Movements!$B$2:$B$20000,$A98,Movements!$C$2:$C$20000,"ADJUST+")-SUMIFS(Movements!$D$2:$D$20000,Movements!$B$2:$B$20000,$A98,Movements!$C$2:$C$20000,"ISSUE")-SUMIFS(Movements!$D$2:$D$20000,Movements!$B$2:$B$20000,$A98,Movements!$C$2:$C$20000,"SCRAP")-SUMIFS(Movements!$D$2:$D$20000,Movements!$B$2:$B$20000,$A98,Movements!$C$2:$C$20000,"ADJUST-")</f>
        <v/>
      </c>
      <c r="F98" s="16" t="n">
        <v>7</v>
      </c>
      <c r="G98" s="23">
        <f>IF($E98&lt;=0,"OUT OF STOCK",IF(AND($F98&gt;0,$E98&lt;=$F98*0.2),"LOW STOCK","IN STOCK"))</f>
        <v/>
      </c>
    </row>
    <row r="99" ht="15" customHeight="1" s="13">
      <c r="A99" s="16" t="inlineStr">
        <is>
          <t>7219/0157</t>
        </is>
      </c>
      <c r="B99" s="16" t="inlineStr">
        <is>
          <t>12 Way DL 090 Male Sealed</t>
        </is>
      </c>
      <c r="C99" s="16" t="inlineStr">
        <is>
          <t>NO</t>
        </is>
      </c>
      <c r="D99" s="16" t="inlineStr">
        <is>
          <t>L-12</t>
        </is>
      </c>
      <c r="E99" s="22">
        <f>SUMIFS(Movements!$D$2:$D$20000,Movements!$B$2:$B$20000,$A99,Movements!$C$2:$C$20000,"RECEIPT")+SUMIFS(Movements!$D$2:$D$20000,Movements!$B$2:$B$20000,$A99,Movements!$C$2:$C$20000,"RETURN")+SUMIFS(Movements!$D$2:$D$20000,Movements!$B$2:$B$20000,$A99,Movements!$C$2:$C$20000,"ADJUST+")-SUMIFS(Movements!$D$2:$D$20000,Movements!$B$2:$B$20000,$A99,Movements!$C$2:$C$20000,"ISSUE")-SUMIFS(Movements!$D$2:$D$20000,Movements!$B$2:$B$20000,$A99,Movements!$C$2:$C$20000,"SCRAP")-SUMIFS(Movements!$D$2:$D$20000,Movements!$B$2:$B$20000,$A99,Movements!$C$2:$C$20000,"ADJUST-")</f>
        <v/>
      </c>
      <c r="F99" s="16" t="n">
        <v>7</v>
      </c>
      <c r="G99" s="23">
        <f>IF($E99&lt;=0,"OUT OF STOCK",IF(AND($F99&gt;0,$E99&lt;=$F99*0.2),"LOW STOCK","IN STOCK"))</f>
        <v/>
      </c>
    </row>
    <row r="100" ht="15" customHeight="1" s="13">
      <c r="A100" s="16" t="inlineStr">
        <is>
          <t>7219/0109</t>
        </is>
      </c>
      <c r="B100" s="16" t="inlineStr">
        <is>
          <t>12 Way DL 090 Fem Sealed</t>
        </is>
      </c>
      <c r="C100" s="16" t="inlineStr">
        <is>
          <t>NO</t>
        </is>
      </c>
      <c r="D100" s="16" t="n"/>
      <c r="E100" s="22">
        <f>SUMIFS(Movements!$D$2:$D$20000,Movements!$B$2:$B$20000,$A100,Movements!$C$2:$C$20000,"RECEIPT")+SUMIFS(Movements!$D$2:$D$20000,Movements!$B$2:$B$20000,$A100,Movements!$C$2:$C$20000,"RETURN")+SUMIFS(Movements!$D$2:$D$20000,Movements!$B$2:$B$20000,$A100,Movements!$C$2:$C$20000,"ADJUST+")-SUMIFS(Movements!$D$2:$D$20000,Movements!$B$2:$B$20000,$A100,Movements!$C$2:$C$20000,"ISSUE")-SUMIFS(Movements!$D$2:$D$20000,Movements!$B$2:$B$20000,$A100,Movements!$C$2:$C$20000,"SCRAP")-SUMIFS(Movements!$D$2:$D$20000,Movements!$B$2:$B$20000,$A100,Movements!$C$2:$C$20000,"ADJUST-")</f>
        <v/>
      </c>
      <c r="F100" s="16" t="n">
        <v>7</v>
      </c>
      <c r="G100" s="23">
        <f>IF($E100&lt;=0,"OUT OF STOCK",IF(AND($F100&gt;0,$E100&lt;=$F100*0.2),"LOW STOCK","IN STOCK"))</f>
        <v/>
      </c>
    </row>
    <row r="101" ht="15" customHeight="1" s="13">
      <c r="A101" s="16" t="inlineStr">
        <is>
          <t>7212/0113</t>
        </is>
      </c>
      <c r="B101" s="16" t="inlineStr">
        <is>
          <t>2 WAY 2.8 SSC FEM HSG</t>
        </is>
      </c>
      <c r="C101" s="16" t="inlineStr">
        <is>
          <t>NO</t>
        </is>
      </c>
      <c r="D101" s="16" t="inlineStr">
        <is>
          <t>M-4</t>
        </is>
      </c>
      <c r="E101" s="22">
        <f>SUMIFS(Movements!$D$2:$D$20000,Movements!$B$2:$B$20000,$A101,Movements!$C$2:$C$20000,"RECEIPT")+SUMIFS(Movements!$D$2:$D$20000,Movements!$B$2:$B$20000,$A101,Movements!$C$2:$C$20000,"RETURN")+SUMIFS(Movements!$D$2:$D$20000,Movements!$B$2:$B$20000,$A101,Movements!$C$2:$C$20000,"ADJUST+")-SUMIFS(Movements!$D$2:$D$20000,Movements!$B$2:$B$20000,$A101,Movements!$C$2:$C$20000,"ISSUE")-SUMIFS(Movements!$D$2:$D$20000,Movements!$B$2:$B$20000,$A101,Movements!$C$2:$C$20000,"SCRAP")-SUMIFS(Movements!$D$2:$D$20000,Movements!$B$2:$B$20000,$A101,Movements!$C$2:$C$20000,"ADJUST-")</f>
        <v/>
      </c>
      <c r="F101" s="16" t="n">
        <v>25</v>
      </c>
      <c r="G101" s="23">
        <f>IF($E101&lt;=0,"OUT OF STOCK",IF(AND($F101&gt;0,$E101&lt;=$F101*0.2),"LOW STOCK","IN STOCK"))</f>
        <v/>
      </c>
    </row>
    <row r="102" ht="15" customHeight="1" s="13">
      <c r="A102" s="16" t="inlineStr">
        <is>
          <t>7213/0080</t>
        </is>
      </c>
      <c r="B102" s="16" t="inlineStr">
        <is>
          <t>3 Way HPSL FEM HSG Brown</t>
        </is>
      </c>
      <c r="C102" s="16" t="inlineStr">
        <is>
          <t>NO</t>
        </is>
      </c>
      <c r="D102" s="16" t="inlineStr">
        <is>
          <t>D2-2</t>
        </is>
      </c>
      <c r="E102" s="22">
        <f>SUMIFS(Movements!$D$2:$D$20000,Movements!$B$2:$B$20000,$A102,Movements!$C$2:$C$20000,"RECEIPT")+SUMIFS(Movements!$D$2:$D$20000,Movements!$B$2:$B$20000,$A102,Movements!$C$2:$C$20000,"RETURN")+SUMIFS(Movements!$D$2:$D$20000,Movements!$B$2:$B$20000,$A102,Movements!$C$2:$C$20000,"ADJUST+")-SUMIFS(Movements!$D$2:$D$20000,Movements!$B$2:$B$20000,$A102,Movements!$C$2:$C$20000,"ISSUE")-SUMIFS(Movements!$D$2:$D$20000,Movements!$B$2:$B$20000,$A102,Movements!$C$2:$C$20000,"SCRAP")-SUMIFS(Movements!$D$2:$D$20000,Movements!$B$2:$B$20000,$A102,Movements!$C$2:$C$20000,"ADJUST-")</f>
        <v/>
      </c>
      <c r="F102" s="16" t="n">
        <v>10</v>
      </c>
      <c r="G102" s="23">
        <f>IF($E102&lt;=0,"OUT OF STOCK",IF(AND($F102&gt;0,$E102&lt;=$F102*0.2),"LOW STOCK","IN STOCK"))</f>
        <v/>
      </c>
    </row>
    <row r="103" ht="15" customHeight="1" s="13">
      <c r="A103" s="16" t="inlineStr">
        <is>
          <t>7214/0034</t>
        </is>
      </c>
      <c r="B103" s="16" t="inlineStr">
        <is>
          <t>4 Way DTP06 Socket Housing</t>
        </is>
      </c>
      <c r="C103" s="16" t="inlineStr">
        <is>
          <t>NO</t>
        </is>
      </c>
      <c r="D103" s="16" t="inlineStr">
        <is>
          <t>EMC-05</t>
        </is>
      </c>
      <c r="E103" s="22">
        <f>SUMIFS(Movements!$D$2:$D$20000,Movements!$B$2:$B$20000,$A103,Movements!$C$2:$C$20000,"RECEIPT")+SUMIFS(Movements!$D$2:$D$20000,Movements!$B$2:$B$20000,$A103,Movements!$C$2:$C$20000,"RETURN")+SUMIFS(Movements!$D$2:$D$20000,Movements!$B$2:$B$20000,$A103,Movements!$C$2:$C$20000,"ADJUST+")-SUMIFS(Movements!$D$2:$D$20000,Movements!$B$2:$B$20000,$A103,Movements!$C$2:$C$20000,"ISSUE")-SUMIFS(Movements!$D$2:$D$20000,Movements!$B$2:$B$20000,$A103,Movements!$C$2:$C$20000,"SCRAP")-SUMIFS(Movements!$D$2:$D$20000,Movements!$B$2:$B$20000,$A103,Movements!$C$2:$C$20000,"ADJUST-")</f>
        <v/>
      </c>
      <c r="F103" s="16" t="n">
        <v>10</v>
      </c>
      <c r="G103" s="23">
        <f>IF($E103&lt;=0,"OUT OF STOCK",IF(AND($F103&gt;0,$E103&lt;=$F103*0.2),"LOW STOCK","IN STOCK"))</f>
        <v/>
      </c>
    </row>
    <row r="104" ht="15" customHeight="1" s="13">
      <c r="A104" s="16" t="inlineStr">
        <is>
          <t>7218/0087</t>
        </is>
      </c>
      <c r="B104" s="16" t="inlineStr">
        <is>
          <t>8 WAY MX150 HYBRID SKT HS</t>
        </is>
      </c>
      <c r="C104" s="16" t="inlineStr">
        <is>
          <t>NO</t>
        </is>
      </c>
      <c r="D104" s="16" t="inlineStr">
        <is>
          <t>L-5</t>
        </is>
      </c>
      <c r="E104" s="22">
        <f>SUMIFS(Movements!$D$2:$D$20000,Movements!$B$2:$B$20000,$A104,Movements!$C$2:$C$20000,"RECEIPT")+SUMIFS(Movements!$D$2:$D$20000,Movements!$B$2:$B$20000,$A104,Movements!$C$2:$C$20000,"RETURN")+SUMIFS(Movements!$D$2:$D$20000,Movements!$B$2:$B$20000,$A104,Movements!$C$2:$C$20000,"ADJUST+")-SUMIFS(Movements!$D$2:$D$20000,Movements!$B$2:$B$20000,$A104,Movements!$C$2:$C$20000,"ISSUE")-SUMIFS(Movements!$D$2:$D$20000,Movements!$B$2:$B$20000,$A104,Movements!$C$2:$C$20000,"SCRAP")-SUMIFS(Movements!$D$2:$D$20000,Movements!$B$2:$B$20000,$A104,Movements!$C$2:$C$20000,"ADJUST-")</f>
        <v/>
      </c>
      <c r="F104" s="16" t="n">
        <v>7</v>
      </c>
      <c r="G104" s="23">
        <f>IF($E104&lt;=0,"OUT OF STOCK",IF(AND($F104&gt;0,$E104&lt;=$F104*0.2),"LOW STOCK","IN STOCK"))</f>
        <v/>
      </c>
    </row>
    <row r="105" ht="15" customHeight="1" s="13">
      <c r="A105" s="16" t="inlineStr">
        <is>
          <t>7212/0002</t>
        </is>
      </c>
      <c r="B105" s="16" t="inlineStr">
        <is>
          <t>2 Way HW090 Pin Housing</t>
        </is>
      </c>
      <c r="C105" s="16" t="inlineStr">
        <is>
          <t>NO</t>
        </is>
      </c>
      <c r="D105" s="16" t="inlineStr">
        <is>
          <t>D2-2</t>
        </is>
      </c>
      <c r="E105" s="22">
        <f>SUMIFS(Movements!$D$2:$D$20000,Movements!$B$2:$B$20000,$A105,Movements!$C$2:$C$20000,"RECEIPT")+SUMIFS(Movements!$D$2:$D$20000,Movements!$B$2:$B$20000,$A105,Movements!$C$2:$C$20000,"RETURN")+SUMIFS(Movements!$D$2:$D$20000,Movements!$B$2:$B$20000,$A105,Movements!$C$2:$C$20000,"ADJUST+")-SUMIFS(Movements!$D$2:$D$20000,Movements!$B$2:$B$20000,$A105,Movements!$C$2:$C$20000,"ISSUE")-SUMIFS(Movements!$D$2:$D$20000,Movements!$B$2:$B$20000,$A105,Movements!$C$2:$C$20000,"SCRAP")-SUMIFS(Movements!$D$2:$D$20000,Movements!$B$2:$B$20000,$A105,Movements!$C$2:$C$20000,"ADJUST-")</f>
        <v/>
      </c>
      <c r="F105" s="16" t="n">
        <v>27</v>
      </c>
      <c r="G105" s="23">
        <f>IF($E105&lt;=0,"OUT OF STOCK",IF(AND($F105&gt;0,$E105&lt;=$F105*0.2),"LOW STOCK","IN STOCK"))</f>
        <v/>
      </c>
    </row>
    <row r="106" ht="15" customHeight="1" s="13">
      <c r="A106" s="16" t="inlineStr">
        <is>
          <t>7219/0272</t>
        </is>
      </c>
      <c r="B106" s="16" t="inlineStr">
        <is>
          <t>47 Way HDP free skt housing L017</t>
        </is>
      </c>
      <c r="C106" s="16" t="inlineStr">
        <is>
          <t>NO</t>
        </is>
      </c>
      <c r="D106" s="16" t="inlineStr">
        <is>
          <t>EMC-05</t>
        </is>
      </c>
      <c r="E106" s="22">
        <f>SUMIFS(Movements!$D$2:$D$20000,Movements!$B$2:$B$20000,$A106,Movements!$C$2:$C$20000,"RECEIPT")+SUMIFS(Movements!$D$2:$D$20000,Movements!$B$2:$B$20000,$A106,Movements!$C$2:$C$20000,"RETURN")+SUMIFS(Movements!$D$2:$D$20000,Movements!$B$2:$B$20000,$A106,Movements!$C$2:$C$20000,"ADJUST+")-SUMIFS(Movements!$D$2:$D$20000,Movements!$B$2:$B$20000,$A106,Movements!$C$2:$C$20000,"ISSUE")-SUMIFS(Movements!$D$2:$D$20000,Movements!$B$2:$B$20000,$A106,Movements!$C$2:$C$20000,"SCRAP")-SUMIFS(Movements!$D$2:$D$20000,Movements!$B$2:$B$20000,$A106,Movements!$C$2:$C$20000,"ADJUST-")</f>
        <v/>
      </c>
      <c r="F106" s="16" t="n">
        <v>15</v>
      </c>
      <c r="G106" s="23">
        <f>IF($E106&lt;=0,"OUT OF STOCK",IF(AND($F106&gt;0,$E106&lt;=$F106*0.2),"LOW STOCK","IN STOCK"))</f>
        <v/>
      </c>
    </row>
    <row r="107" ht="15" customHeight="1" s="13">
      <c r="A107" s="16" t="inlineStr">
        <is>
          <t>7210/0052</t>
        </is>
      </c>
      <c r="B107" s="16" t="inlineStr">
        <is>
          <t>Cavity Plug DT 20 Red</t>
        </is>
      </c>
      <c r="C107" s="16" t="inlineStr">
        <is>
          <t>NO</t>
        </is>
      </c>
      <c r="D107" s="16" t="inlineStr">
        <is>
          <t>seal box</t>
        </is>
      </c>
      <c r="E107" s="22">
        <f>SUMIFS(Movements!$D$2:$D$20000,Movements!$B$2:$B$20000,$A107,Movements!$C$2:$C$20000,"RECEIPT")+SUMIFS(Movements!$D$2:$D$20000,Movements!$B$2:$B$20000,$A107,Movements!$C$2:$C$20000,"RETURN")+SUMIFS(Movements!$D$2:$D$20000,Movements!$B$2:$B$20000,$A107,Movements!$C$2:$C$20000,"ADJUST+")-SUMIFS(Movements!$D$2:$D$20000,Movements!$B$2:$B$20000,$A107,Movements!$C$2:$C$20000,"ISSUE")-SUMIFS(Movements!$D$2:$D$20000,Movements!$B$2:$B$20000,$A107,Movements!$C$2:$C$20000,"SCRAP")-SUMIFS(Movements!$D$2:$D$20000,Movements!$B$2:$B$20000,$A107,Movements!$C$2:$C$20000,"ADJUST-")</f>
        <v/>
      </c>
      <c r="F107" s="16" t="n">
        <v>150</v>
      </c>
      <c r="G107" s="23">
        <f>IF($E107&lt;=0,"OUT OF STOCK",IF(AND($F107&gt;0,$E107&lt;=$F107*0.2),"LOW STOCK","IN STOCK"))</f>
        <v/>
      </c>
    </row>
    <row r="108" ht="15" customHeight="1" s="13">
      <c r="A108" s="16" t="inlineStr">
        <is>
          <t>7243/0784</t>
        </is>
      </c>
      <c r="B108" s="16" t="inlineStr">
        <is>
          <t>BOOT HD30 180 DEG -Rev.Lel.-01</t>
        </is>
      </c>
      <c r="C108" s="16" t="inlineStr">
        <is>
          <t>NO</t>
        </is>
      </c>
      <c r="D108" s="16" t="inlineStr">
        <is>
          <t>BIN-3-07</t>
        </is>
      </c>
      <c r="E108" s="22">
        <f>SUMIFS(Movements!$D$2:$D$20000,Movements!$B$2:$B$20000,$A108,Movements!$C$2:$C$20000,"RECEIPT")+SUMIFS(Movements!$D$2:$D$20000,Movements!$B$2:$B$20000,$A108,Movements!$C$2:$C$20000,"RETURN")+SUMIFS(Movements!$D$2:$D$20000,Movements!$B$2:$B$20000,$A108,Movements!$C$2:$C$20000,"ADJUST+")-SUMIFS(Movements!$D$2:$D$20000,Movements!$B$2:$B$20000,$A108,Movements!$C$2:$C$20000,"ISSUE")-SUMIFS(Movements!$D$2:$D$20000,Movements!$B$2:$B$20000,$A108,Movements!$C$2:$C$20000,"SCRAP")-SUMIFS(Movements!$D$2:$D$20000,Movements!$B$2:$B$20000,$A108,Movements!$C$2:$C$20000,"ADJUST-")</f>
        <v/>
      </c>
      <c r="F108" s="16" t="n">
        <v>2</v>
      </c>
      <c r="G108" s="23">
        <f>IF($E108&lt;=0,"OUT OF STOCK",IF(AND($F108&gt;0,$E108&lt;=$F108*0.2),"LOW STOCK","IN STOCK"))</f>
        <v/>
      </c>
    </row>
    <row r="109" ht="15" customHeight="1" s="13">
      <c r="A109" s="16" t="inlineStr">
        <is>
          <t>7213/0024</t>
        </is>
      </c>
      <c r="B109" s="16" t="inlineStr">
        <is>
          <t>3 Way Superseal Recept Housing</t>
        </is>
      </c>
      <c r="C109" s="16" t="inlineStr">
        <is>
          <t>NO</t>
        </is>
      </c>
      <c r="D109" s="16" t="inlineStr">
        <is>
          <t>D2-1</t>
        </is>
      </c>
      <c r="E109" s="22">
        <f>SUMIFS(Movements!$D$2:$D$20000,Movements!$B$2:$B$20000,$A109,Movements!$C$2:$C$20000,"RECEIPT")+SUMIFS(Movements!$D$2:$D$20000,Movements!$B$2:$B$20000,$A109,Movements!$C$2:$C$20000,"RETURN")+SUMIFS(Movements!$D$2:$D$20000,Movements!$B$2:$B$20000,$A109,Movements!$C$2:$C$20000,"ADJUST+")-SUMIFS(Movements!$D$2:$D$20000,Movements!$B$2:$B$20000,$A109,Movements!$C$2:$C$20000,"ISSUE")-SUMIFS(Movements!$D$2:$D$20000,Movements!$B$2:$B$20000,$A109,Movements!$C$2:$C$20000,"SCRAP")-SUMIFS(Movements!$D$2:$D$20000,Movements!$B$2:$B$20000,$A109,Movements!$C$2:$C$20000,"ADJUST-")</f>
        <v/>
      </c>
      <c r="F109" s="16" t="n">
        <v>10</v>
      </c>
      <c r="G109" s="23">
        <f>IF($E109&lt;=0,"OUT OF STOCK",IF(AND($F109&gt;0,$E109&lt;=$F109*0.2),"LOW STOCK","IN STOCK"))</f>
        <v/>
      </c>
    </row>
    <row r="110" ht="15" customHeight="1" s="13">
      <c r="A110" s="16" t="inlineStr">
        <is>
          <t>7216/0029</t>
        </is>
      </c>
      <c r="B110" s="16" t="inlineStr">
        <is>
          <t>6 WAY SUPERSEAL RECEPT HOUSING</t>
        </is>
      </c>
      <c r="C110" s="16" t="inlineStr">
        <is>
          <t>NO</t>
        </is>
      </c>
      <c r="D110" s="16" t="inlineStr">
        <is>
          <t>L-15</t>
        </is>
      </c>
      <c r="E110" s="22">
        <f>SUMIFS(Movements!$D$2:$D$20000,Movements!$B$2:$B$20000,$A110,Movements!$C$2:$C$20000,"RECEIPT")+SUMIFS(Movements!$D$2:$D$20000,Movements!$B$2:$B$20000,$A110,Movements!$C$2:$C$20000,"RETURN")+SUMIFS(Movements!$D$2:$D$20000,Movements!$B$2:$B$20000,$A110,Movements!$C$2:$C$20000,"ADJUST+")-SUMIFS(Movements!$D$2:$D$20000,Movements!$B$2:$B$20000,$A110,Movements!$C$2:$C$20000,"ISSUE")-SUMIFS(Movements!$D$2:$D$20000,Movements!$B$2:$B$20000,$A110,Movements!$C$2:$C$20000,"SCRAP")-SUMIFS(Movements!$D$2:$D$20000,Movements!$B$2:$B$20000,$A110,Movements!$C$2:$C$20000,"ADJUST-")</f>
        <v/>
      </c>
      <c r="F110" s="16" t="n">
        <v>10</v>
      </c>
      <c r="G110" s="23">
        <f>IF($E110&lt;=0,"OUT OF STOCK",IF(AND($F110&gt;0,$E110&lt;=$F110*0.2),"LOW STOCK","IN STOCK"))</f>
        <v/>
      </c>
    </row>
    <row r="111" ht="15" customHeight="1" s="13">
      <c r="A111" s="16" t="inlineStr">
        <is>
          <t>7201/0095</t>
        </is>
      </c>
      <c r="B111" s="16" t="inlineStr">
        <is>
          <t>0.30-0.50mm² Socket Terminal Superseal</t>
        </is>
      </c>
      <c r="C111" s="16" t="inlineStr">
        <is>
          <t>NO</t>
        </is>
      </c>
      <c r="D111" s="16" t="inlineStr">
        <is>
          <t>L-7</t>
        </is>
      </c>
      <c r="E111" s="22">
        <f>SUMIFS(Movements!$D$2:$D$20000,Movements!$B$2:$B$20000,$A111,Movements!$C$2:$C$20000,"RECEIPT")+SUMIFS(Movements!$D$2:$D$20000,Movements!$B$2:$B$20000,$A111,Movements!$C$2:$C$20000,"RETURN")+SUMIFS(Movements!$D$2:$D$20000,Movements!$B$2:$B$20000,$A111,Movements!$C$2:$C$20000,"ADJUST+")-SUMIFS(Movements!$D$2:$D$20000,Movements!$B$2:$B$20000,$A111,Movements!$C$2:$C$20000,"ISSUE")-SUMIFS(Movements!$D$2:$D$20000,Movements!$B$2:$B$20000,$A111,Movements!$C$2:$C$20000,"SCRAP")-SUMIFS(Movements!$D$2:$D$20000,Movements!$B$2:$B$20000,$A111,Movements!$C$2:$C$20000,"ADJUST-")</f>
        <v/>
      </c>
      <c r="F111" s="16" t="n">
        <v>100</v>
      </c>
      <c r="G111" s="23">
        <f>IF($E111&lt;=0,"OUT OF STOCK",IF(AND($F111&gt;0,$E111&lt;=$F111*0.2),"LOW STOCK","IN STOCK"))</f>
        <v/>
      </c>
    </row>
    <row r="112" ht="15" customHeight="1" s="13">
      <c r="A112" s="16" t="inlineStr">
        <is>
          <t>7219/0040</t>
        </is>
      </c>
      <c r="B112" s="16" t="inlineStr">
        <is>
          <t>Housing pin9 way Deutsch</t>
        </is>
      </c>
      <c r="C112" s="16" t="inlineStr">
        <is>
          <t>NO</t>
        </is>
      </c>
      <c r="D112" s="16" t="n"/>
      <c r="E112" s="22">
        <f>SUMIFS(Movements!$D$2:$D$20000,Movements!$B$2:$B$20000,$A112,Movements!$C$2:$C$20000,"RECEIPT")+SUMIFS(Movements!$D$2:$D$20000,Movements!$B$2:$B$20000,$A112,Movements!$C$2:$C$20000,"RETURN")+SUMIFS(Movements!$D$2:$D$20000,Movements!$B$2:$B$20000,$A112,Movements!$C$2:$C$20000,"ADJUST+")-SUMIFS(Movements!$D$2:$D$20000,Movements!$B$2:$B$20000,$A112,Movements!$C$2:$C$20000,"ISSUE")-SUMIFS(Movements!$D$2:$D$20000,Movements!$B$2:$B$20000,$A112,Movements!$C$2:$C$20000,"SCRAP")-SUMIFS(Movements!$D$2:$D$20000,Movements!$B$2:$B$20000,$A112,Movements!$C$2:$C$20000,"ADJUST-")</f>
        <v/>
      </c>
      <c r="F112" s="16" t="n">
        <v>3</v>
      </c>
      <c r="G112" s="23">
        <f>IF($E112&lt;=0,"OUT OF STOCK",IF(AND($F112&gt;0,$E112&lt;=$F112*0.2),"LOW STOCK","IN STOCK"))</f>
        <v/>
      </c>
    </row>
    <row r="113" ht="15" customHeight="1" s="13">
      <c r="A113" s="16" t="inlineStr">
        <is>
          <t>7204/0028</t>
        </is>
      </c>
      <c r="B113" s="16" t="inlineStr">
        <is>
          <t>0.75-2.0 DT Size 16 Pin Term Nickel OD 1.91-3.56</t>
        </is>
      </c>
      <c r="C113" s="16" t="inlineStr">
        <is>
          <t>NO</t>
        </is>
      </c>
      <c r="D113" s="16" t="inlineStr">
        <is>
          <t>L-8</t>
        </is>
      </c>
      <c r="E113" s="22">
        <f>SUMIFS(Movements!$D$2:$D$20000,Movements!$B$2:$B$20000,$A113,Movements!$C$2:$C$20000,"RECEIPT")+SUMIFS(Movements!$D$2:$D$20000,Movements!$B$2:$B$20000,$A113,Movements!$C$2:$C$20000,"RETURN")+SUMIFS(Movements!$D$2:$D$20000,Movements!$B$2:$B$20000,$A113,Movements!$C$2:$C$20000,"ADJUST+")-SUMIFS(Movements!$D$2:$D$20000,Movements!$B$2:$B$20000,$A113,Movements!$C$2:$C$20000,"ISSUE")-SUMIFS(Movements!$D$2:$D$20000,Movements!$B$2:$B$20000,$A113,Movements!$C$2:$C$20000,"SCRAP")-SUMIFS(Movements!$D$2:$D$20000,Movements!$B$2:$B$20000,$A113,Movements!$C$2:$C$20000,"ADJUST-")</f>
        <v/>
      </c>
      <c r="F113" s="16" t="n">
        <v>100</v>
      </c>
      <c r="G113" s="23">
        <f>IF($E113&lt;=0,"OUT OF STOCK",IF(AND($F113&gt;0,$E113&lt;=$F113*0.2),"LOW STOCK","IN STOCK"))</f>
        <v/>
      </c>
    </row>
    <row r="114" ht="15" customHeight="1" s="13">
      <c r="A114" s="16" t="inlineStr">
        <is>
          <t>7243/0643</t>
        </is>
      </c>
      <c r="B114" s="16" t="inlineStr">
        <is>
          <t>HD10 BACKSHELL SIZE 9</t>
        </is>
      </c>
      <c r="C114" s="16" t="inlineStr">
        <is>
          <t>NO</t>
        </is>
      </c>
      <c r="D114" s="16" t="n"/>
      <c r="E114" s="22">
        <f>SUMIFS(Movements!$D$2:$D$20000,Movements!$B$2:$B$20000,$A114,Movements!$C$2:$C$20000,"RECEIPT")+SUMIFS(Movements!$D$2:$D$20000,Movements!$B$2:$B$20000,$A114,Movements!$C$2:$C$20000,"RETURN")+SUMIFS(Movements!$D$2:$D$20000,Movements!$B$2:$B$20000,$A114,Movements!$C$2:$C$20000,"ADJUST+")-SUMIFS(Movements!$D$2:$D$20000,Movements!$B$2:$B$20000,$A114,Movements!$C$2:$C$20000,"ISSUE")-SUMIFS(Movements!$D$2:$D$20000,Movements!$B$2:$B$20000,$A114,Movements!$C$2:$C$20000,"SCRAP")-SUMIFS(Movements!$D$2:$D$20000,Movements!$B$2:$B$20000,$A114,Movements!$C$2:$C$20000,"ADJUST-")</f>
        <v/>
      </c>
      <c r="F114" s="16" t="n">
        <v>5</v>
      </c>
      <c r="G114" s="23">
        <f>IF($E114&lt;=0,"OUT OF STOCK",IF(AND($F114&gt;0,$E114&lt;=$F114*0.2),"LOW STOCK","IN STOCK"))</f>
        <v/>
      </c>
    </row>
    <row r="115" ht="15" customHeight="1" s="13">
      <c r="A115" s="16" t="inlineStr">
        <is>
          <t>7204/0029</t>
        </is>
      </c>
      <c r="B115" s="16" t="inlineStr">
        <is>
          <t>0.50-1.50 DT Size 20 Socket Terminal Nickel</t>
        </is>
      </c>
      <c r="C115" s="16" t="inlineStr">
        <is>
          <t>NO</t>
        </is>
      </c>
      <c r="D115" s="16" t="inlineStr">
        <is>
          <t>L-7</t>
        </is>
      </c>
      <c r="E115" s="22">
        <f>SUMIFS(Movements!$D$2:$D$20000,Movements!$B$2:$B$20000,$A115,Movements!$C$2:$C$20000,"RECEIPT")+SUMIFS(Movements!$D$2:$D$20000,Movements!$B$2:$B$20000,$A115,Movements!$C$2:$C$20000,"RETURN")+SUMIFS(Movements!$D$2:$D$20000,Movements!$B$2:$B$20000,$A115,Movements!$C$2:$C$20000,"ADJUST+")-SUMIFS(Movements!$D$2:$D$20000,Movements!$B$2:$B$20000,$A115,Movements!$C$2:$C$20000,"ISSUE")-SUMIFS(Movements!$D$2:$D$20000,Movements!$B$2:$B$20000,$A115,Movements!$C$2:$C$20000,"SCRAP")-SUMIFS(Movements!$D$2:$D$20000,Movements!$B$2:$B$20000,$A115,Movements!$C$2:$C$20000,"ADJUST-")</f>
        <v/>
      </c>
      <c r="F115" s="16" t="n">
        <v>150</v>
      </c>
      <c r="G115" s="23">
        <f>IF($E115&lt;=0,"OUT OF STOCK",IF(AND($F115&gt;0,$E115&lt;=$F115*0.2),"LOW STOCK","IN STOCK"))</f>
        <v/>
      </c>
    </row>
    <row r="116" ht="15" customHeight="1" s="13">
      <c r="A116" s="16" t="inlineStr">
        <is>
          <t>7210/0030</t>
        </is>
      </c>
      <c r="B116" s="16" t="inlineStr">
        <is>
          <t>CAVITY PLUG DEUTSCH 12-16 -Rev.Lel.-02</t>
        </is>
      </c>
      <c r="C116" s="16" t="inlineStr">
        <is>
          <t>NO</t>
        </is>
      </c>
      <c r="D116" s="16" t="inlineStr">
        <is>
          <t>L-18</t>
        </is>
      </c>
      <c r="E116" s="22">
        <f>SUMIFS(Movements!$D$2:$D$20000,Movements!$B$2:$B$20000,$A116,Movements!$C$2:$C$20000,"RECEIPT")+SUMIFS(Movements!$D$2:$D$20000,Movements!$B$2:$B$20000,$A116,Movements!$C$2:$C$20000,"RETURN")+SUMIFS(Movements!$D$2:$D$20000,Movements!$B$2:$B$20000,$A116,Movements!$C$2:$C$20000,"ADJUST+")-SUMIFS(Movements!$D$2:$D$20000,Movements!$B$2:$B$20000,$A116,Movements!$C$2:$C$20000,"ISSUE")-SUMIFS(Movements!$D$2:$D$20000,Movements!$B$2:$B$20000,$A116,Movements!$C$2:$C$20000,"SCRAP")-SUMIFS(Movements!$D$2:$D$20000,Movements!$B$2:$B$20000,$A116,Movements!$C$2:$C$20000,"ADJUST-")</f>
        <v/>
      </c>
      <c r="F116" s="16" t="n">
        <v>200</v>
      </c>
      <c r="G116" s="23">
        <f>IF($E116&lt;=0,"OUT OF STOCK",IF(AND($F116&gt;0,$E116&lt;=$F116*0.2),"LOW STOCK","IN STOCK"))</f>
        <v/>
      </c>
    </row>
    <row r="117" ht="15" customHeight="1" s="13">
      <c r="A117" s="16" t="inlineStr">
        <is>
          <t>727/00002</t>
        </is>
      </c>
      <c r="B117" s="16" t="inlineStr">
        <is>
          <t>3 Way DT04 CAN Terminating Resistor J1939/11</t>
        </is>
      </c>
      <c r="C117" s="16" t="inlineStr">
        <is>
          <t>NO</t>
        </is>
      </c>
      <c r="D117" s="16" t="inlineStr">
        <is>
          <t>EMC-06</t>
        </is>
      </c>
      <c r="E117" s="22">
        <f>SUMIFS(Movements!$D$2:$D$20000,Movements!$B$2:$B$20000,$A117,Movements!$C$2:$C$20000,"RECEIPT")+SUMIFS(Movements!$D$2:$D$20000,Movements!$B$2:$B$20000,$A117,Movements!$C$2:$C$20000,"RETURN")+SUMIFS(Movements!$D$2:$D$20000,Movements!$B$2:$B$20000,$A117,Movements!$C$2:$C$20000,"ADJUST+")-SUMIFS(Movements!$D$2:$D$20000,Movements!$B$2:$B$20000,$A117,Movements!$C$2:$C$20000,"ISSUE")-SUMIFS(Movements!$D$2:$D$20000,Movements!$B$2:$B$20000,$A117,Movements!$C$2:$C$20000,"SCRAP")-SUMIFS(Movements!$D$2:$D$20000,Movements!$B$2:$B$20000,$A117,Movements!$C$2:$C$20000,"ADJUST-")</f>
        <v/>
      </c>
      <c r="F117" s="16" t="n">
        <v>14</v>
      </c>
      <c r="G117" s="23">
        <f>IF($E117&lt;=0,"OUT OF STOCK",IF(AND($F117&gt;0,$E117&lt;=$F117*0.2),"LOW STOCK","IN STOCK"))</f>
        <v/>
      </c>
    </row>
    <row r="118" ht="15" customHeight="1" s="13">
      <c r="A118" s="16" t="inlineStr">
        <is>
          <t>7243/0002</t>
        </is>
      </c>
      <c r="B118" s="16" t="inlineStr">
        <is>
          <t>2 WAY DT90 Deg Adaptor NC08</t>
        </is>
      </c>
      <c r="C118" s="16" t="inlineStr">
        <is>
          <t>NO</t>
        </is>
      </c>
      <c r="D118" s="16" t="inlineStr">
        <is>
          <t>L-18</t>
        </is>
      </c>
      <c r="E118" s="22">
        <f>SUMIFS(Movements!$D$2:$D$20000,Movements!$B$2:$B$20000,$A118,Movements!$C$2:$C$20000,"RECEIPT")+SUMIFS(Movements!$D$2:$D$20000,Movements!$B$2:$B$20000,$A118,Movements!$C$2:$C$20000,"RETURN")+SUMIFS(Movements!$D$2:$D$20000,Movements!$B$2:$B$20000,$A118,Movements!$C$2:$C$20000,"ADJUST+")-SUMIFS(Movements!$D$2:$D$20000,Movements!$B$2:$B$20000,$A118,Movements!$C$2:$C$20000,"ISSUE")-SUMIFS(Movements!$D$2:$D$20000,Movements!$B$2:$B$20000,$A118,Movements!$C$2:$C$20000,"SCRAP")-SUMIFS(Movements!$D$2:$D$20000,Movements!$B$2:$B$20000,$A118,Movements!$C$2:$C$20000,"ADJUST-")</f>
        <v/>
      </c>
      <c r="F118" s="16" t="n">
        <v>14</v>
      </c>
      <c r="G118" s="23">
        <f>IF($E118&lt;=0,"OUT OF STOCK",IF(AND($F118&gt;0,$E118&lt;=$F118*0.2),"LOW STOCK","IN STOCK"))</f>
        <v/>
      </c>
    </row>
    <row r="119" ht="15" customHeight="1" s="13">
      <c r="A119" s="16" t="inlineStr">
        <is>
          <t>7243/0202</t>
        </is>
      </c>
      <c r="B119" s="16" t="inlineStr">
        <is>
          <t>2 Way DT06 Adapter 90 Deg NC08</t>
        </is>
      </c>
      <c r="C119" s="16" t="inlineStr">
        <is>
          <t>NO</t>
        </is>
      </c>
      <c r="D119" s="16" t="n"/>
      <c r="E119" s="22">
        <f>SUMIFS(Movements!$D$2:$D$20000,Movements!$B$2:$B$20000,$A119,Movements!$C$2:$C$20000,"RECEIPT")+SUMIFS(Movements!$D$2:$D$20000,Movements!$B$2:$B$20000,$A119,Movements!$C$2:$C$20000,"RETURN")+SUMIFS(Movements!$D$2:$D$20000,Movements!$B$2:$B$20000,$A119,Movements!$C$2:$C$20000,"ADJUST+")-SUMIFS(Movements!$D$2:$D$20000,Movements!$B$2:$B$20000,$A119,Movements!$C$2:$C$20000,"ISSUE")-SUMIFS(Movements!$D$2:$D$20000,Movements!$B$2:$B$20000,$A119,Movements!$C$2:$C$20000,"SCRAP")-SUMIFS(Movements!$D$2:$D$20000,Movements!$B$2:$B$20000,$A119,Movements!$C$2:$C$20000,"ADJUST-")</f>
        <v/>
      </c>
      <c r="F119" s="16" t="n">
        <v>7</v>
      </c>
      <c r="G119" s="23">
        <f>IF($E119&lt;=0,"OUT OF STOCK",IF(AND($F119&gt;0,$E119&lt;=$F119*0.2),"LOW STOCK","IN STOCK"))</f>
        <v/>
      </c>
    </row>
    <row r="120" ht="15" customHeight="1" s="13">
      <c r="A120" s="16" t="inlineStr">
        <is>
          <t>7243/0203</t>
        </is>
      </c>
      <c r="B120" s="16" t="inlineStr">
        <is>
          <t>2 Way DT06 Adapter 90 Deg NC8-NC12</t>
        </is>
      </c>
      <c r="C120" s="16" t="inlineStr">
        <is>
          <t>NO</t>
        </is>
      </c>
      <c r="D120" s="16" t="inlineStr">
        <is>
          <t>L-18</t>
        </is>
      </c>
      <c r="E120" s="22">
        <f>SUMIFS(Movements!$D$2:$D$20000,Movements!$B$2:$B$20000,$A120,Movements!$C$2:$C$20000,"RECEIPT")+SUMIFS(Movements!$D$2:$D$20000,Movements!$B$2:$B$20000,$A120,Movements!$C$2:$C$20000,"RETURN")+SUMIFS(Movements!$D$2:$D$20000,Movements!$B$2:$B$20000,$A120,Movements!$C$2:$C$20000,"ADJUST+")-SUMIFS(Movements!$D$2:$D$20000,Movements!$B$2:$B$20000,$A120,Movements!$C$2:$C$20000,"ISSUE")-SUMIFS(Movements!$D$2:$D$20000,Movements!$B$2:$B$20000,$A120,Movements!$C$2:$C$20000,"SCRAP")-SUMIFS(Movements!$D$2:$D$20000,Movements!$B$2:$B$20000,$A120,Movements!$C$2:$C$20000,"ADJUST-")</f>
        <v/>
      </c>
      <c r="F120" s="16" t="n">
        <v>7</v>
      </c>
      <c r="G120" s="23">
        <f>IF($E120&lt;=0,"OUT OF STOCK",IF(AND($F120&gt;0,$E120&lt;=$F120*0.2),"LOW STOCK","IN STOCK"))</f>
        <v/>
      </c>
    </row>
    <row r="121" ht="15" customHeight="1" s="13">
      <c r="A121" s="16" t="inlineStr">
        <is>
          <t>7212/0013</t>
        </is>
      </c>
      <c r="B121" s="16" t="inlineStr">
        <is>
          <t>2 Way Junior Power Timer Housing</t>
        </is>
      </c>
      <c r="C121" s="16" t="inlineStr">
        <is>
          <t>NO</t>
        </is>
      </c>
      <c r="D121" s="16" t="inlineStr">
        <is>
          <t>L-1</t>
        </is>
      </c>
      <c r="E121" s="22">
        <f>SUMIFS(Movements!$D$2:$D$20000,Movements!$B$2:$B$20000,$A121,Movements!$C$2:$C$20000,"RECEIPT")+SUMIFS(Movements!$D$2:$D$20000,Movements!$B$2:$B$20000,$A121,Movements!$C$2:$C$20000,"RETURN")+SUMIFS(Movements!$D$2:$D$20000,Movements!$B$2:$B$20000,$A121,Movements!$C$2:$C$20000,"ADJUST+")-SUMIFS(Movements!$D$2:$D$20000,Movements!$B$2:$B$20000,$A121,Movements!$C$2:$C$20000,"ISSUE")-SUMIFS(Movements!$D$2:$D$20000,Movements!$B$2:$B$20000,$A121,Movements!$C$2:$C$20000,"SCRAP")-SUMIFS(Movements!$D$2:$D$20000,Movements!$B$2:$B$20000,$A121,Movements!$C$2:$C$20000,"ADJUST-")</f>
        <v/>
      </c>
      <c r="F121" s="16" t="n">
        <v>27</v>
      </c>
      <c r="G121" s="23">
        <f>IF($E121&lt;=0,"OUT OF STOCK",IF(AND($F121&gt;0,$E121&lt;=$F121*0.2),"LOW STOCK","IN STOCK"))</f>
        <v/>
      </c>
    </row>
    <row r="122" ht="15" customHeight="1" s="13">
      <c r="A122" s="16" t="inlineStr">
        <is>
          <t>7232/0024</t>
        </is>
      </c>
      <c r="B122" s="16" t="inlineStr">
        <is>
          <t>2WAY UNSEALED FEM HSG H F/L305-2PF</t>
        </is>
      </c>
      <c r="C122" s="16" t="inlineStr">
        <is>
          <t>NO</t>
        </is>
      </c>
      <c r="D122" s="16" t="n"/>
      <c r="E122" s="22">
        <f>SUMIFS(Movements!$D$2:$D$20000,Movements!$B$2:$B$20000,$A122,Movements!$C$2:$C$20000,"RECEIPT")+SUMIFS(Movements!$D$2:$D$20000,Movements!$B$2:$B$20000,$A122,Movements!$C$2:$C$20000,"RETURN")+SUMIFS(Movements!$D$2:$D$20000,Movements!$B$2:$B$20000,$A122,Movements!$C$2:$C$20000,"ADJUST+")-SUMIFS(Movements!$D$2:$D$20000,Movements!$B$2:$B$20000,$A122,Movements!$C$2:$C$20000,"ISSUE")-SUMIFS(Movements!$D$2:$D$20000,Movements!$B$2:$B$20000,$A122,Movements!$C$2:$C$20000,"SCRAP")-SUMIFS(Movements!$D$2:$D$20000,Movements!$B$2:$B$20000,$A122,Movements!$C$2:$C$20000,"ADJUST-")</f>
        <v/>
      </c>
      <c r="F122" s="16" t="n">
        <v>7</v>
      </c>
      <c r="G122" s="23">
        <f>IF($E122&lt;=0,"OUT OF STOCK",IF(AND($F122&gt;0,$E122&lt;=$F122*0.2),"LOW STOCK","IN STOCK"))</f>
        <v/>
      </c>
    </row>
    <row r="123" ht="15" customHeight="1" s="13">
      <c r="A123" s="16" t="inlineStr">
        <is>
          <t>7213/0015</t>
        </is>
      </c>
      <c r="B123" s="16" t="inlineStr">
        <is>
          <t>3 WAY DT06 SOC HSG NO END CAP</t>
        </is>
      </c>
      <c r="C123" s="16" t="inlineStr">
        <is>
          <t>NO</t>
        </is>
      </c>
      <c r="D123" s="16" t="inlineStr">
        <is>
          <t>S-1</t>
        </is>
      </c>
      <c r="E123" s="22">
        <f>SUMIFS(Movements!$D$2:$D$20000,Movements!$B$2:$B$20000,$A123,Movements!$C$2:$C$20000,"RECEIPT")+SUMIFS(Movements!$D$2:$D$20000,Movements!$B$2:$B$20000,$A123,Movements!$C$2:$C$20000,"RETURN")+SUMIFS(Movements!$D$2:$D$20000,Movements!$B$2:$B$20000,$A123,Movements!$C$2:$C$20000,"ADJUST+")-SUMIFS(Movements!$D$2:$D$20000,Movements!$B$2:$B$20000,$A123,Movements!$C$2:$C$20000,"ISSUE")-SUMIFS(Movements!$D$2:$D$20000,Movements!$B$2:$B$20000,$A123,Movements!$C$2:$C$20000,"SCRAP")-SUMIFS(Movements!$D$2:$D$20000,Movements!$B$2:$B$20000,$A123,Movements!$C$2:$C$20000,"ADJUST-")</f>
        <v/>
      </c>
      <c r="F123" s="16" t="n">
        <v>34</v>
      </c>
      <c r="G123" s="23">
        <f>IF($E123&lt;=0,"OUT OF STOCK",IF(AND($F123&gt;0,$E123&lt;=$F123*0.2),"LOW STOCK","IN STOCK"))</f>
        <v/>
      </c>
    </row>
    <row r="124" ht="15" customHeight="1" s="13">
      <c r="A124" s="16" t="inlineStr">
        <is>
          <t>7219/0098</t>
        </is>
      </c>
      <c r="B124" s="16" t="inlineStr">
        <is>
          <t>Housing 9 Way Male Jam Nut Diagnostic</t>
        </is>
      </c>
      <c r="C124" s="16" t="inlineStr">
        <is>
          <t>NO</t>
        </is>
      </c>
      <c r="D124" s="16" t="inlineStr">
        <is>
          <t>L-5</t>
        </is>
      </c>
      <c r="E124" s="22">
        <f>SUMIFS(Movements!$D$2:$D$20000,Movements!$B$2:$B$20000,$A124,Movements!$C$2:$C$20000,"RECEIPT")+SUMIFS(Movements!$D$2:$D$20000,Movements!$B$2:$B$20000,$A124,Movements!$C$2:$C$20000,"RETURN")+SUMIFS(Movements!$D$2:$D$20000,Movements!$B$2:$B$20000,$A124,Movements!$C$2:$C$20000,"ADJUST+")-SUMIFS(Movements!$D$2:$D$20000,Movements!$B$2:$B$20000,$A124,Movements!$C$2:$C$20000,"ISSUE")-SUMIFS(Movements!$D$2:$D$20000,Movements!$B$2:$B$20000,$A124,Movements!$C$2:$C$20000,"SCRAP")-SUMIFS(Movements!$D$2:$D$20000,Movements!$B$2:$B$20000,$A124,Movements!$C$2:$C$20000,"ADJUST-")</f>
        <v/>
      </c>
      <c r="F124" s="16" t="n">
        <v>7</v>
      </c>
      <c r="G124" s="23">
        <f>IF($E124&lt;=0,"OUT OF STOCK",IF(AND($F124&gt;0,$E124&lt;=$F124*0.2),"LOW STOCK","IN STOCK"))</f>
        <v/>
      </c>
    </row>
    <row r="125" ht="15" customHeight="1" s="13">
      <c r="A125" s="16" t="inlineStr">
        <is>
          <t>332/C8190</t>
        </is>
      </c>
      <c r="B125" s="16" t="inlineStr">
        <is>
          <t>20 WAY MX15 SOCKET HOUSING BLACK</t>
        </is>
      </c>
      <c r="C125" s="16" t="inlineStr">
        <is>
          <t>NO</t>
        </is>
      </c>
      <c r="D125" s="16" t="inlineStr">
        <is>
          <t>BIN-7-04</t>
        </is>
      </c>
      <c r="E125" s="22">
        <f>SUMIFS(Movements!$D$2:$D$20000,Movements!$B$2:$B$20000,$A125,Movements!$C$2:$C$20000,"RECEIPT")+SUMIFS(Movements!$D$2:$D$20000,Movements!$B$2:$B$20000,$A125,Movements!$C$2:$C$20000,"RETURN")+SUMIFS(Movements!$D$2:$D$20000,Movements!$B$2:$B$20000,$A125,Movements!$C$2:$C$20000,"ADJUST+")-SUMIFS(Movements!$D$2:$D$20000,Movements!$B$2:$B$20000,$A125,Movements!$C$2:$C$20000,"ISSUE")-SUMIFS(Movements!$D$2:$D$20000,Movements!$B$2:$B$20000,$A125,Movements!$C$2:$C$20000,"SCRAP")-SUMIFS(Movements!$D$2:$D$20000,Movements!$B$2:$B$20000,$A125,Movements!$C$2:$C$20000,"ADJUST-")</f>
        <v/>
      </c>
      <c r="F125" s="16" t="n">
        <v>7</v>
      </c>
      <c r="G125" s="23">
        <f>IF($E125&lt;=0,"OUT OF STOCK",IF(AND($F125&gt;0,$E125&lt;=$F125*0.2),"LOW STOCK","IN STOCK"))</f>
        <v/>
      </c>
    </row>
    <row r="126" ht="15" customHeight="1" s="13">
      <c r="A126" s="16" t="inlineStr">
        <is>
          <t>7214/0001</t>
        </is>
      </c>
      <c r="B126" s="16" t="inlineStr">
        <is>
          <t>4 Way HW090 Socket Housing</t>
        </is>
      </c>
      <c r="C126" s="16" t="inlineStr">
        <is>
          <t>NO</t>
        </is>
      </c>
      <c r="D126" s="16" t="inlineStr">
        <is>
          <t>L-2</t>
        </is>
      </c>
      <c r="E126" s="22">
        <f>SUMIFS(Movements!$D$2:$D$20000,Movements!$B$2:$B$20000,$A126,Movements!$C$2:$C$20000,"RECEIPT")+SUMIFS(Movements!$D$2:$D$20000,Movements!$B$2:$B$20000,$A126,Movements!$C$2:$C$20000,"RETURN")+SUMIFS(Movements!$D$2:$D$20000,Movements!$B$2:$B$20000,$A126,Movements!$C$2:$C$20000,"ADJUST+")-SUMIFS(Movements!$D$2:$D$20000,Movements!$B$2:$B$20000,$A126,Movements!$C$2:$C$20000,"ISSUE")-SUMIFS(Movements!$D$2:$D$20000,Movements!$B$2:$B$20000,$A126,Movements!$C$2:$C$20000,"SCRAP")-SUMIFS(Movements!$D$2:$D$20000,Movements!$B$2:$B$20000,$A126,Movements!$C$2:$C$20000,"ADJUST-")</f>
        <v/>
      </c>
      <c r="F126" s="16" t="n">
        <v>21</v>
      </c>
      <c r="G126" s="23">
        <f>IF($E126&lt;=0,"OUT OF STOCK",IF(AND($F126&gt;0,$E126&lt;=$F126*0.2),"LOW STOCK","IN STOCK"))</f>
        <v/>
      </c>
    </row>
    <row r="127" ht="15" customHeight="1" s="13">
      <c r="A127" s="16" t="inlineStr">
        <is>
          <t>7216/0059</t>
        </is>
      </c>
      <c r="B127" s="16" t="inlineStr">
        <is>
          <t>6Way Metripack</t>
        </is>
      </c>
      <c r="C127" s="16" t="inlineStr">
        <is>
          <t>NO</t>
        </is>
      </c>
      <c r="D127" s="16" t="n"/>
      <c r="E127" s="22">
        <f>SUMIFS(Movements!$D$2:$D$20000,Movements!$B$2:$B$20000,$A127,Movements!$C$2:$C$20000,"RECEIPT")+SUMIFS(Movements!$D$2:$D$20000,Movements!$B$2:$B$20000,$A127,Movements!$C$2:$C$20000,"RETURN")+SUMIFS(Movements!$D$2:$D$20000,Movements!$B$2:$B$20000,$A127,Movements!$C$2:$C$20000,"ADJUST+")-SUMIFS(Movements!$D$2:$D$20000,Movements!$B$2:$B$20000,$A127,Movements!$C$2:$C$20000,"ISSUE")-SUMIFS(Movements!$D$2:$D$20000,Movements!$B$2:$B$20000,$A127,Movements!$C$2:$C$20000,"SCRAP")-SUMIFS(Movements!$D$2:$D$20000,Movements!$B$2:$B$20000,$A127,Movements!$C$2:$C$20000,"ADJUST-")</f>
        <v/>
      </c>
      <c r="F127" s="16" t="n">
        <v>28</v>
      </c>
      <c r="G127" s="23">
        <f>IF($E127&lt;=0,"OUT OF STOCK",IF(AND($F127&gt;0,$E127&lt;=$F127*0.2),"LOW STOCK","IN STOCK"))</f>
        <v/>
      </c>
    </row>
    <row r="128" ht="15" customHeight="1" s="13">
      <c r="A128" s="16" t="inlineStr">
        <is>
          <t>7219/0016</t>
        </is>
      </c>
      <c r="B128" s="16" t="inlineStr">
        <is>
          <t>12 WAY DT06 SKT HSG KEY A -Rev.Lel.-02</t>
        </is>
      </c>
      <c r="C128" s="16" t="inlineStr">
        <is>
          <t>NO</t>
        </is>
      </c>
      <c r="D128" s="16" t="inlineStr">
        <is>
          <t>M-2</t>
        </is>
      </c>
      <c r="E128" s="22">
        <f>SUMIFS(Movements!$D$2:$D$20000,Movements!$B$2:$B$20000,$A128,Movements!$C$2:$C$20000,"RECEIPT")+SUMIFS(Movements!$D$2:$D$20000,Movements!$B$2:$B$20000,$A128,Movements!$C$2:$C$20000,"RETURN")+SUMIFS(Movements!$D$2:$D$20000,Movements!$B$2:$B$20000,$A128,Movements!$C$2:$C$20000,"ADJUST+")-SUMIFS(Movements!$D$2:$D$20000,Movements!$B$2:$B$20000,$A128,Movements!$C$2:$C$20000,"ISSUE")-SUMIFS(Movements!$D$2:$D$20000,Movements!$B$2:$B$20000,$A128,Movements!$C$2:$C$20000,"SCRAP")-SUMIFS(Movements!$D$2:$D$20000,Movements!$B$2:$B$20000,$A128,Movements!$C$2:$C$20000,"ADJUST-")</f>
        <v/>
      </c>
      <c r="F128" s="16" t="n">
        <v>7</v>
      </c>
      <c r="G128" s="23">
        <f>IF($E128&lt;=0,"OUT OF STOCK",IF(AND($F128&gt;0,$E128&lt;=$F128*0.2),"LOW STOCK","IN STOCK"))</f>
        <v/>
      </c>
    </row>
    <row r="129" ht="15" customHeight="1" s="13">
      <c r="A129" s="16" t="inlineStr">
        <is>
          <t>7219/0159</t>
        </is>
      </c>
      <c r="B129" s="16" t="inlineStr">
        <is>
          <t>20 Way DL 040 Fem Sealed</t>
        </is>
      </c>
      <c r="C129" s="16" t="inlineStr">
        <is>
          <t>NO</t>
        </is>
      </c>
      <c r="D129" s="16" t="inlineStr">
        <is>
          <t>L-15</t>
        </is>
      </c>
      <c r="E129" s="22">
        <f>SUMIFS(Movements!$D$2:$D$20000,Movements!$B$2:$B$20000,$A129,Movements!$C$2:$C$20000,"RECEIPT")+SUMIFS(Movements!$D$2:$D$20000,Movements!$B$2:$B$20000,$A129,Movements!$C$2:$C$20000,"RETURN")+SUMIFS(Movements!$D$2:$D$20000,Movements!$B$2:$B$20000,$A129,Movements!$C$2:$C$20000,"ADJUST+")-SUMIFS(Movements!$D$2:$D$20000,Movements!$B$2:$B$20000,$A129,Movements!$C$2:$C$20000,"ISSUE")-SUMIFS(Movements!$D$2:$D$20000,Movements!$B$2:$B$20000,$A129,Movements!$C$2:$C$20000,"SCRAP")-SUMIFS(Movements!$D$2:$D$20000,Movements!$B$2:$B$20000,$A129,Movements!$C$2:$C$20000,"ADJUST-")</f>
        <v/>
      </c>
      <c r="F129" s="16" t="n">
        <v>7</v>
      </c>
      <c r="G129" s="23">
        <f>IF($E129&lt;=0,"OUT OF STOCK",IF(AND($F129&gt;0,$E129&lt;=$F129*0.2),"LOW STOCK","IN STOCK"))</f>
        <v/>
      </c>
    </row>
    <row r="130" ht="15" customHeight="1" s="13">
      <c r="A130" s="16" t="inlineStr">
        <is>
          <t>7219/0158</t>
        </is>
      </c>
      <c r="B130" s="16" t="inlineStr">
        <is>
          <t>20 Way DL 040 Male Sealed</t>
        </is>
      </c>
      <c r="C130" s="16" t="inlineStr">
        <is>
          <t>F</t>
        </is>
      </c>
      <c r="D130" s="16" t="inlineStr">
        <is>
          <t>L-15</t>
        </is>
      </c>
      <c r="E130" s="22">
        <f>SUMIFS(Movements!$D$2:$D$20000,Movements!$B$2:$B$20000,$A130,Movements!$C$2:$C$20000,"RECEIPT")+SUMIFS(Movements!$D$2:$D$20000,Movements!$B$2:$B$20000,$A130,Movements!$C$2:$C$20000,"RETURN")+SUMIFS(Movements!$D$2:$D$20000,Movements!$B$2:$B$20000,$A130,Movements!$C$2:$C$20000,"ADJUST+")-SUMIFS(Movements!$D$2:$D$20000,Movements!$B$2:$B$20000,$A130,Movements!$C$2:$C$20000,"ISSUE")-SUMIFS(Movements!$D$2:$D$20000,Movements!$B$2:$B$20000,$A130,Movements!$C$2:$C$20000,"SCRAP")-SUMIFS(Movements!$D$2:$D$20000,Movements!$B$2:$B$20000,$A130,Movements!$C$2:$C$20000,"ADJUST-")</f>
        <v/>
      </c>
      <c r="F130" s="16" t="n">
        <v>7</v>
      </c>
      <c r="G130" s="23">
        <f>IF($E130&lt;=0,"OUT OF STOCK",IF(AND($F130&gt;0,$E130&lt;=$F130*0.2),"LOW STOCK","IN STOCK"))</f>
        <v/>
      </c>
    </row>
    <row r="131" ht="15" customHeight="1" s="13">
      <c r="A131" s="16" t="inlineStr">
        <is>
          <t>7219/0326</t>
        </is>
      </c>
      <c r="B131" s="16" t="inlineStr">
        <is>
          <t>56 WAY FEM CONN HSG LHS E</t>
        </is>
      </c>
      <c r="C131" s="16" t="inlineStr">
        <is>
          <t>NO</t>
        </is>
      </c>
      <c r="D131" s="16" t="inlineStr">
        <is>
          <t>L-18</t>
        </is>
      </c>
      <c r="E131" s="22">
        <f>SUMIFS(Movements!$D$2:$D$20000,Movements!$B$2:$B$20000,$A131,Movements!$C$2:$C$20000,"RECEIPT")+SUMIFS(Movements!$D$2:$D$20000,Movements!$B$2:$B$20000,$A131,Movements!$C$2:$C$20000,"RETURN")+SUMIFS(Movements!$D$2:$D$20000,Movements!$B$2:$B$20000,$A131,Movements!$C$2:$C$20000,"ADJUST+")-SUMIFS(Movements!$D$2:$D$20000,Movements!$B$2:$B$20000,$A131,Movements!$C$2:$C$20000,"ISSUE")-SUMIFS(Movements!$D$2:$D$20000,Movements!$B$2:$B$20000,$A131,Movements!$C$2:$C$20000,"SCRAP")-SUMIFS(Movements!$D$2:$D$20000,Movements!$B$2:$B$20000,$A131,Movements!$C$2:$C$20000,"ADJUST-")</f>
        <v/>
      </c>
      <c r="F131" s="16" t="n">
        <v>7</v>
      </c>
      <c r="G131" s="23">
        <f>IF($E131&lt;=0,"OUT OF STOCK",IF(AND($F131&gt;0,$E131&lt;=$F131*0.2),"LOW STOCK","IN STOCK"))</f>
        <v/>
      </c>
    </row>
    <row r="132" ht="15" customHeight="1" s="13">
      <c r="A132" s="16" t="inlineStr">
        <is>
          <t>332/E3213</t>
        </is>
      </c>
      <c r="B132" s="16" t="inlineStr">
        <is>
          <t>20 WAY MX150 SOCKET HOUSING GREY</t>
        </is>
      </c>
      <c r="C132" s="16" t="inlineStr">
        <is>
          <t>NO</t>
        </is>
      </c>
      <c r="D132" s="16" t="inlineStr">
        <is>
          <t>L-11</t>
        </is>
      </c>
      <c r="E132" s="22">
        <f>SUMIFS(Movements!$D$2:$D$20000,Movements!$B$2:$B$20000,$A132,Movements!$C$2:$C$20000,"RECEIPT")+SUMIFS(Movements!$D$2:$D$20000,Movements!$B$2:$B$20000,$A132,Movements!$C$2:$C$20000,"RETURN")+SUMIFS(Movements!$D$2:$D$20000,Movements!$B$2:$B$20000,$A132,Movements!$C$2:$C$20000,"ADJUST+")-SUMIFS(Movements!$D$2:$D$20000,Movements!$B$2:$B$20000,$A132,Movements!$C$2:$C$20000,"ISSUE")-SUMIFS(Movements!$D$2:$D$20000,Movements!$B$2:$B$20000,$A132,Movements!$C$2:$C$20000,"SCRAP")-SUMIFS(Movements!$D$2:$D$20000,Movements!$B$2:$B$20000,$A132,Movements!$C$2:$C$20000,"ADJUST-")</f>
        <v/>
      </c>
      <c r="F132" s="16" t="n">
        <v>14</v>
      </c>
      <c r="G132" s="23">
        <f>IF($E132&lt;=0,"OUT OF STOCK",IF(AND($F132&gt;0,$E132&lt;=$F132*0.2),"LOW STOCK","IN STOCK"))</f>
        <v/>
      </c>
    </row>
    <row r="133" ht="15" customHeight="1" s="13">
      <c r="A133" s="16" t="inlineStr">
        <is>
          <t>7201/0403</t>
        </is>
      </c>
      <c r="B133" s="16" t="inlineStr">
        <is>
          <t>1 Way Pos Lock Housing Straight</t>
        </is>
      </c>
      <c r="C133" s="16" t="inlineStr">
        <is>
          <t>NO</t>
        </is>
      </c>
      <c r="D133" s="16" t="inlineStr">
        <is>
          <t>L-6</t>
        </is>
      </c>
      <c r="E133" s="22">
        <f>SUMIFS(Movements!$D$2:$D$20000,Movements!$B$2:$B$20000,$A133,Movements!$C$2:$C$20000,"RECEIPT")+SUMIFS(Movements!$D$2:$D$20000,Movements!$B$2:$B$20000,$A133,Movements!$C$2:$C$20000,"RETURN")+SUMIFS(Movements!$D$2:$D$20000,Movements!$B$2:$B$20000,$A133,Movements!$C$2:$C$20000,"ADJUST+")-SUMIFS(Movements!$D$2:$D$20000,Movements!$B$2:$B$20000,$A133,Movements!$C$2:$C$20000,"ISSUE")-SUMIFS(Movements!$D$2:$D$20000,Movements!$B$2:$B$20000,$A133,Movements!$C$2:$C$20000,"SCRAP")-SUMIFS(Movements!$D$2:$D$20000,Movements!$B$2:$B$20000,$A133,Movements!$C$2:$C$20000,"ADJUST-")</f>
        <v/>
      </c>
      <c r="F133" s="16" t="n">
        <v>50</v>
      </c>
      <c r="G133" s="23">
        <f>IF($E133&lt;=0,"OUT OF STOCK",IF(AND($F133&gt;0,$E133&lt;=$F133*0.2),"LOW STOCK","IN STOCK"))</f>
        <v/>
      </c>
    </row>
    <row r="134" ht="15" customHeight="1" s="13">
      <c r="A134" s="16" t="inlineStr">
        <is>
          <t>7204/0408</t>
        </is>
      </c>
      <c r="B134" s="16" t="inlineStr">
        <is>
          <t>1WAY 6.3 TAB Housing # 4770039160 MSSL</t>
        </is>
      </c>
      <c r="C134" s="16" t="inlineStr">
        <is>
          <t>NO</t>
        </is>
      </c>
      <c r="D134" s="16" t="n"/>
      <c r="E134" s="22">
        <f>SUMIFS(Movements!$D$2:$D$20000,Movements!$B$2:$B$20000,$A134,Movements!$C$2:$C$20000,"RECEIPT")+SUMIFS(Movements!$D$2:$D$20000,Movements!$B$2:$B$20000,$A134,Movements!$C$2:$C$20000,"RETURN")+SUMIFS(Movements!$D$2:$D$20000,Movements!$B$2:$B$20000,$A134,Movements!$C$2:$C$20000,"ADJUST+")-SUMIFS(Movements!$D$2:$D$20000,Movements!$B$2:$B$20000,$A134,Movements!$C$2:$C$20000,"ISSUE")-SUMIFS(Movements!$D$2:$D$20000,Movements!$B$2:$B$20000,$A134,Movements!$C$2:$C$20000,"SCRAP")-SUMIFS(Movements!$D$2:$D$20000,Movements!$B$2:$B$20000,$A134,Movements!$C$2:$C$20000,"ADJUST-")</f>
        <v/>
      </c>
      <c r="F134" s="16" t="n">
        <v>14</v>
      </c>
      <c r="G134" s="23">
        <f>IF($E134&lt;=0,"OUT OF STOCK",IF(AND($F134&gt;0,$E134&lt;=$F134*0.2),"LOW STOCK","IN STOCK"))</f>
        <v/>
      </c>
    </row>
    <row r="135" ht="15" customHeight="1" s="13">
      <c r="A135" s="16" t="inlineStr">
        <is>
          <t>7201/0469</t>
        </is>
      </c>
      <c r="B135" s="16" t="inlineStr">
        <is>
          <t>Terminal</t>
        </is>
      </c>
      <c r="C135" s="16" t="inlineStr">
        <is>
          <t>NO</t>
        </is>
      </c>
      <c r="D135" s="16" t="inlineStr">
        <is>
          <t>L-10</t>
        </is>
      </c>
      <c r="E135" s="22">
        <f>SUMIFS(Movements!$D$2:$D$20000,Movements!$B$2:$B$20000,$A135,Movements!$C$2:$C$20000,"RECEIPT")+SUMIFS(Movements!$D$2:$D$20000,Movements!$B$2:$B$20000,$A135,Movements!$C$2:$C$20000,"RETURN")+SUMIFS(Movements!$D$2:$D$20000,Movements!$B$2:$B$20000,$A135,Movements!$C$2:$C$20000,"ADJUST+")-SUMIFS(Movements!$D$2:$D$20000,Movements!$B$2:$B$20000,$A135,Movements!$C$2:$C$20000,"ISSUE")-SUMIFS(Movements!$D$2:$D$20000,Movements!$B$2:$B$20000,$A135,Movements!$C$2:$C$20000,"SCRAP")-SUMIFS(Movements!$D$2:$D$20000,Movements!$B$2:$B$20000,$A135,Movements!$C$2:$C$20000,"ADJUST-")</f>
        <v/>
      </c>
      <c r="F135" s="16" t="n">
        <v>100</v>
      </c>
      <c r="G135" s="23">
        <f>IF($E135&lt;=0,"OUT OF STOCK",IF(AND($F135&gt;0,$E135&lt;=$F135*0.2),"LOW STOCK","IN STOCK"))</f>
        <v/>
      </c>
    </row>
    <row r="136" ht="15" customHeight="1" s="13">
      <c r="A136" s="16" t="inlineStr">
        <is>
          <t>7201/0465</t>
        </is>
      </c>
      <c r="B136" s="16" t="inlineStr">
        <is>
          <t>6.3 Fem Fastin Faston 2.6-4.0 Dimple</t>
        </is>
      </c>
      <c r="C136" s="16" t="inlineStr">
        <is>
          <t>NO</t>
        </is>
      </c>
      <c r="D136" s="16" t="inlineStr">
        <is>
          <t>L-5</t>
        </is>
      </c>
      <c r="E136" s="22">
        <f>SUMIFS(Movements!$D$2:$D$20000,Movements!$B$2:$B$20000,$A136,Movements!$C$2:$C$20000,"RECEIPT")+SUMIFS(Movements!$D$2:$D$20000,Movements!$B$2:$B$20000,$A136,Movements!$C$2:$C$20000,"RETURN")+SUMIFS(Movements!$D$2:$D$20000,Movements!$B$2:$B$20000,$A136,Movements!$C$2:$C$20000,"ADJUST+")-SUMIFS(Movements!$D$2:$D$20000,Movements!$B$2:$B$20000,$A136,Movements!$C$2:$C$20000,"ISSUE")-SUMIFS(Movements!$D$2:$D$20000,Movements!$B$2:$B$20000,$A136,Movements!$C$2:$C$20000,"SCRAP")-SUMIFS(Movements!$D$2:$D$20000,Movements!$B$2:$B$20000,$A136,Movements!$C$2:$C$20000,"ADJUST-")</f>
        <v/>
      </c>
      <c r="F136" s="16" t="n">
        <v>5</v>
      </c>
      <c r="G136" s="23">
        <f>IF($E136&lt;=0,"OUT OF STOCK",IF(AND($F136&gt;0,$E136&lt;=$F136*0.2),"LOW STOCK","IN STOCK"))</f>
        <v/>
      </c>
    </row>
    <row r="137" ht="15" customHeight="1" s="13">
      <c r="A137" s="16" t="inlineStr">
        <is>
          <t>7201/0451</t>
        </is>
      </c>
      <c r="B137" s="16" t="inlineStr">
        <is>
          <t>6.3MM FASTIN TRML (0.5-1.0 CSA) -Rev.Lel.-02</t>
        </is>
      </c>
      <c r="C137" s="16" t="inlineStr">
        <is>
          <t>NO</t>
        </is>
      </c>
      <c r="D137" s="16" t="inlineStr">
        <is>
          <t>L-5</t>
        </is>
      </c>
      <c r="E137" s="22">
        <f>SUMIFS(Movements!$D$2:$D$20000,Movements!$B$2:$B$20000,$A137,Movements!$C$2:$C$20000,"RECEIPT")+SUMIFS(Movements!$D$2:$D$20000,Movements!$B$2:$B$20000,$A137,Movements!$C$2:$C$20000,"RETURN")+SUMIFS(Movements!$D$2:$D$20000,Movements!$B$2:$B$20000,$A137,Movements!$C$2:$C$20000,"ADJUST+")-SUMIFS(Movements!$D$2:$D$20000,Movements!$B$2:$B$20000,$A137,Movements!$C$2:$C$20000,"ISSUE")-SUMIFS(Movements!$D$2:$D$20000,Movements!$B$2:$B$20000,$A137,Movements!$C$2:$C$20000,"SCRAP")-SUMIFS(Movements!$D$2:$D$20000,Movements!$B$2:$B$20000,$A137,Movements!$C$2:$C$20000,"ADJUST-")</f>
        <v/>
      </c>
      <c r="F137" s="16" t="n">
        <v>125</v>
      </c>
      <c r="G137" s="23">
        <f>IF($E137&lt;=0,"OUT OF STOCK",IF(AND($F137&gt;0,$E137&lt;=$F137*0.2),"LOW STOCK","IN STOCK"))</f>
        <v/>
      </c>
    </row>
    <row r="138" ht="15" customHeight="1" s="13">
      <c r="A138" s="16" t="inlineStr">
        <is>
          <t>7201/0155</t>
        </is>
      </c>
      <c r="B138" s="16" t="inlineStr">
        <is>
          <t>0.5-0.75 Fem Term Mini Recpt</t>
        </is>
      </c>
      <c r="C138" s="16" t="inlineStr">
        <is>
          <t>NO</t>
        </is>
      </c>
      <c r="D138" s="16" t="inlineStr">
        <is>
          <t>L-7</t>
        </is>
      </c>
      <c r="E138" s="22">
        <f>SUMIFS(Movements!$D$2:$D$20000,Movements!$B$2:$B$20000,$A138,Movements!$C$2:$C$20000,"RECEIPT")+SUMIFS(Movements!$D$2:$D$20000,Movements!$B$2:$B$20000,$A138,Movements!$C$2:$C$20000,"RETURN")+SUMIFS(Movements!$D$2:$D$20000,Movements!$B$2:$B$20000,$A138,Movements!$C$2:$C$20000,"ADJUST+")-SUMIFS(Movements!$D$2:$D$20000,Movements!$B$2:$B$20000,$A138,Movements!$C$2:$C$20000,"ISSUE")-SUMIFS(Movements!$D$2:$D$20000,Movements!$B$2:$B$20000,$A138,Movements!$C$2:$C$20000,"SCRAP")-SUMIFS(Movements!$D$2:$D$20000,Movements!$B$2:$B$20000,$A138,Movements!$C$2:$C$20000,"ADJUST-")</f>
        <v/>
      </c>
      <c r="F138" s="16" t="n">
        <v>110</v>
      </c>
      <c r="G138" s="23">
        <f>IF($E138&lt;=0,"OUT OF STOCK",IF(AND($F138&gt;0,$E138&lt;=$F138*0.2),"LOW STOCK","IN STOCK"))</f>
        <v/>
      </c>
    </row>
    <row r="139" ht="15" customHeight="1" s="13">
      <c r="A139" s="16" t="inlineStr">
        <is>
          <t>716/30355</t>
        </is>
      </c>
      <c r="B139" s="16" t="inlineStr">
        <is>
          <t>MINI FUSE - 20A (P493).</t>
        </is>
      </c>
      <c r="C139" s="16" t="inlineStr">
        <is>
          <t>NO</t>
        </is>
      </c>
      <c r="D139" s="16" t="inlineStr">
        <is>
          <t>BIN-4-04</t>
        </is>
      </c>
      <c r="E139" s="22">
        <f>SUMIFS(Movements!$D$2:$D$20000,Movements!$B$2:$B$20000,$A139,Movements!$C$2:$C$20000,"RECEIPT")+SUMIFS(Movements!$D$2:$D$20000,Movements!$B$2:$B$20000,$A139,Movements!$C$2:$C$20000,"RETURN")+SUMIFS(Movements!$D$2:$D$20000,Movements!$B$2:$B$20000,$A139,Movements!$C$2:$C$20000,"ADJUST+")-SUMIFS(Movements!$D$2:$D$20000,Movements!$B$2:$B$20000,$A139,Movements!$C$2:$C$20000,"ISSUE")-SUMIFS(Movements!$D$2:$D$20000,Movements!$B$2:$B$20000,$A139,Movements!$C$2:$C$20000,"SCRAP")-SUMIFS(Movements!$D$2:$D$20000,Movements!$B$2:$B$20000,$A139,Movements!$C$2:$C$20000,"ADJUST-")</f>
        <v/>
      </c>
      <c r="F139" s="16" t="n">
        <v>5</v>
      </c>
      <c r="G139" s="23">
        <f>IF($E139&lt;=0,"OUT OF STOCK",IF(AND($F139&gt;0,$E139&lt;=$F139*0.2),"LOW STOCK","IN STOCK"))</f>
        <v/>
      </c>
    </row>
    <row r="140" ht="15" customHeight="1" s="13">
      <c r="A140" s="16" t="inlineStr">
        <is>
          <t>716/30354</t>
        </is>
      </c>
      <c r="B140" s="16" t="inlineStr">
        <is>
          <t>MINI FUSE - 15A</t>
        </is>
      </c>
      <c r="C140" s="16" t="inlineStr">
        <is>
          <t>NO</t>
        </is>
      </c>
      <c r="D140" s="16" t="n"/>
      <c r="E140" s="22">
        <f>SUMIFS(Movements!$D$2:$D$20000,Movements!$B$2:$B$20000,$A140,Movements!$C$2:$C$20000,"RECEIPT")+SUMIFS(Movements!$D$2:$D$20000,Movements!$B$2:$B$20000,$A140,Movements!$C$2:$C$20000,"RETURN")+SUMIFS(Movements!$D$2:$D$20000,Movements!$B$2:$B$20000,$A140,Movements!$C$2:$C$20000,"ADJUST+")-SUMIFS(Movements!$D$2:$D$20000,Movements!$B$2:$B$20000,$A140,Movements!$C$2:$C$20000,"ISSUE")-SUMIFS(Movements!$D$2:$D$20000,Movements!$B$2:$B$20000,$A140,Movements!$C$2:$C$20000,"SCRAP")-SUMIFS(Movements!$D$2:$D$20000,Movements!$B$2:$B$20000,$A140,Movements!$C$2:$C$20000,"ADJUST-")</f>
        <v/>
      </c>
      <c r="F140" s="16" t="n">
        <v>40</v>
      </c>
      <c r="G140" s="23">
        <f>IF($E140&lt;=0,"OUT OF STOCK",IF(AND($F140&gt;0,$E140&lt;=$F140*0.2),"LOW STOCK","IN STOCK"))</f>
        <v/>
      </c>
    </row>
    <row r="141" ht="15" customHeight="1" s="13">
      <c r="A141" s="16" t="inlineStr">
        <is>
          <t>716/30353</t>
        </is>
      </c>
      <c r="B141" s="16" t="inlineStr">
        <is>
          <t>MINI FUSE - 10A 54890048</t>
        </is>
      </c>
      <c r="C141" s="16" t="inlineStr">
        <is>
          <t>NO</t>
        </is>
      </c>
      <c r="D141" s="16" t="inlineStr">
        <is>
          <t>BIN-4-03</t>
        </is>
      </c>
      <c r="E141" s="22">
        <f>SUMIFS(Movements!$D$2:$D$20000,Movements!$B$2:$B$20000,$A141,Movements!$C$2:$C$20000,"RECEIPT")+SUMIFS(Movements!$D$2:$D$20000,Movements!$B$2:$B$20000,$A141,Movements!$C$2:$C$20000,"RETURN")+SUMIFS(Movements!$D$2:$D$20000,Movements!$B$2:$B$20000,$A141,Movements!$C$2:$C$20000,"ADJUST+")-SUMIFS(Movements!$D$2:$D$20000,Movements!$B$2:$B$20000,$A141,Movements!$C$2:$C$20000,"ISSUE")-SUMIFS(Movements!$D$2:$D$20000,Movements!$B$2:$B$20000,$A141,Movements!$C$2:$C$20000,"SCRAP")-SUMIFS(Movements!$D$2:$D$20000,Movements!$B$2:$B$20000,$A141,Movements!$C$2:$C$20000,"ADJUST-")</f>
        <v/>
      </c>
      <c r="F141" s="16" t="n">
        <v>30</v>
      </c>
      <c r="G141" s="23">
        <f>IF($E141&lt;=0,"OUT OF STOCK",IF(AND($F141&gt;0,$E141&lt;=$F141*0.2),"LOW STOCK","IN STOCK"))</f>
        <v/>
      </c>
    </row>
    <row r="142" ht="15" customHeight="1" s="13">
      <c r="A142" s="16" t="inlineStr">
        <is>
          <t>716/30352</t>
        </is>
      </c>
      <c r="B142" s="16" t="inlineStr">
        <is>
          <t>MINI FUSE - 7.5A 54890047</t>
        </is>
      </c>
      <c r="C142" s="16" t="inlineStr">
        <is>
          <t>NO</t>
        </is>
      </c>
      <c r="D142" s="16" t="inlineStr">
        <is>
          <t>BIN-4-03</t>
        </is>
      </c>
      <c r="E142" s="22">
        <f>SUMIFS(Movements!$D$2:$D$20000,Movements!$B$2:$B$20000,$A142,Movements!$C$2:$C$20000,"RECEIPT")+SUMIFS(Movements!$D$2:$D$20000,Movements!$B$2:$B$20000,$A142,Movements!$C$2:$C$20000,"RETURN")+SUMIFS(Movements!$D$2:$D$20000,Movements!$B$2:$B$20000,$A142,Movements!$C$2:$C$20000,"ADJUST+")-SUMIFS(Movements!$D$2:$D$20000,Movements!$B$2:$B$20000,$A142,Movements!$C$2:$C$20000,"ISSUE")-SUMIFS(Movements!$D$2:$D$20000,Movements!$B$2:$B$20000,$A142,Movements!$C$2:$C$20000,"SCRAP")-SUMIFS(Movements!$D$2:$D$20000,Movements!$B$2:$B$20000,$A142,Movements!$C$2:$C$20000,"ADJUST-")</f>
        <v/>
      </c>
      <c r="F142" s="16" t="n">
        <v>10</v>
      </c>
      <c r="G142" s="23">
        <f>IF($E142&lt;=0,"OUT OF STOCK",IF(AND($F142&gt;0,$E142&lt;=$F142*0.2),"LOW STOCK","IN STOCK"))</f>
        <v/>
      </c>
    </row>
    <row r="143" ht="15" customHeight="1" s="13">
      <c r="A143" s="16" t="inlineStr">
        <is>
          <t>716/30351</t>
        </is>
      </c>
      <c r="B143" s="16" t="inlineStr">
        <is>
          <t>USE 5 A 5490083</t>
        </is>
      </c>
      <c r="C143" s="16" t="inlineStr">
        <is>
          <t>NO</t>
        </is>
      </c>
      <c r="D143" s="16" t="inlineStr">
        <is>
          <t>BIN-4-03</t>
        </is>
      </c>
      <c r="E143" s="22">
        <f>SUMIFS(Movements!$D$2:$D$20000,Movements!$B$2:$B$20000,$A143,Movements!$C$2:$C$20000,"RECEIPT")+SUMIFS(Movements!$D$2:$D$20000,Movements!$B$2:$B$20000,$A143,Movements!$C$2:$C$20000,"RETURN")+SUMIFS(Movements!$D$2:$D$20000,Movements!$B$2:$B$20000,$A143,Movements!$C$2:$C$20000,"ADJUST+")-SUMIFS(Movements!$D$2:$D$20000,Movements!$B$2:$B$20000,$A143,Movements!$C$2:$C$20000,"ISSUE")-SUMIFS(Movements!$D$2:$D$20000,Movements!$B$2:$B$20000,$A143,Movements!$C$2:$C$20000,"SCRAP")-SUMIFS(Movements!$D$2:$D$20000,Movements!$B$2:$B$20000,$A143,Movements!$C$2:$C$20000,"ADJUST-")</f>
        <v/>
      </c>
      <c r="F143" s="16" t="n">
        <v>20</v>
      </c>
      <c r="G143" s="23">
        <f>IF($E143&lt;=0,"OUT OF STOCK",IF(AND($F143&gt;0,$E143&lt;=$F143*0.2),"LOW STOCK","IN STOCK"))</f>
        <v/>
      </c>
    </row>
    <row r="144" ht="15" customHeight="1" s="13">
      <c r="A144" s="16" t="inlineStr">
        <is>
          <t>716/30350</t>
        </is>
      </c>
      <c r="B144" s="16" t="inlineStr">
        <is>
          <t>USE 3 A 51000578</t>
        </is>
      </c>
      <c r="C144" s="16" t="inlineStr">
        <is>
          <t>NO</t>
        </is>
      </c>
      <c r="D144" s="16" t="inlineStr">
        <is>
          <t>BIN-4-04</t>
        </is>
      </c>
      <c r="E144" s="22">
        <f>SUMIFS(Movements!$D$2:$D$20000,Movements!$B$2:$B$20000,$A144,Movements!$C$2:$C$20000,"RECEIPT")+SUMIFS(Movements!$D$2:$D$20000,Movements!$B$2:$B$20000,$A144,Movements!$C$2:$C$20000,"RETURN")+SUMIFS(Movements!$D$2:$D$20000,Movements!$B$2:$B$20000,$A144,Movements!$C$2:$C$20000,"ADJUST+")-SUMIFS(Movements!$D$2:$D$20000,Movements!$B$2:$B$20000,$A144,Movements!$C$2:$C$20000,"ISSUE")-SUMIFS(Movements!$D$2:$D$20000,Movements!$B$2:$B$20000,$A144,Movements!$C$2:$C$20000,"SCRAP")-SUMIFS(Movements!$D$2:$D$20000,Movements!$B$2:$B$20000,$A144,Movements!$C$2:$C$20000,"ADJUST-")</f>
        <v/>
      </c>
      <c r="F144" s="16" t="n">
        <v>15</v>
      </c>
      <c r="G144" s="23">
        <f>IF($E144&lt;=0,"OUT OF STOCK",IF(AND($F144&gt;0,$E144&lt;=$F144*0.2),"LOW STOCK","IN STOCK"))</f>
        <v/>
      </c>
    </row>
    <row r="145" ht="15" customHeight="1" s="13">
      <c r="A145" s="16" t="inlineStr">
        <is>
          <t>7219/0013</t>
        </is>
      </c>
      <c r="B145" s="16" t="inlineStr">
        <is>
          <t>10 WAY 6.3 FASTIN SWITCH HOUSING</t>
        </is>
      </c>
      <c r="C145" s="16" t="inlineStr">
        <is>
          <t>NO</t>
        </is>
      </c>
      <c r="D145" s="16" t="inlineStr">
        <is>
          <t>M-3</t>
        </is>
      </c>
      <c r="E145" s="22">
        <f>SUMIFS(Movements!$D$2:$D$20000,Movements!$B$2:$B$20000,$A145,Movements!$C$2:$C$20000,"RECEIPT")+SUMIFS(Movements!$D$2:$D$20000,Movements!$B$2:$B$20000,$A145,Movements!$C$2:$C$20000,"RETURN")+SUMIFS(Movements!$D$2:$D$20000,Movements!$B$2:$B$20000,$A145,Movements!$C$2:$C$20000,"ADJUST+")-SUMIFS(Movements!$D$2:$D$20000,Movements!$B$2:$B$20000,$A145,Movements!$C$2:$C$20000,"ISSUE")-SUMIFS(Movements!$D$2:$D$20000,Movements!$B$2:$B$20000,$A145,Movements!$C$2:$C$20000,"SCRAP")-SUMIFS(Movements!$D$2:$D$20000,Movements!$B$2:$B$20000,$A145,Movements!$C$2:$C$20000,"ADJUST-")</f>
        <v/>
      </c>
      <c r="F145" s="16" t="n">
        <v>25</v>
      </c>
      <c r="G145" s="23">
        <f>IF($E145&lt;=0,"OUT OF STOCK",IF(AND($F145&gt;0,$E145&lt;=$F145*0.2),"LOW STOCK","IN STOCK"))</f>
        <v/>
      </c>
    </row>
    <row r="146" ht="15" customHeight="1" s="13">
      <c r="A146" s="16" t="inlineStr">
        <is>
          <t>7219/0014</t>
        </is>
      </c>
      <c r="B146" s="16" t="inlineStr">
        <is>
          <t>0 WAY 6.3 FASTIN SWITCH HSG RED</t>
        </is>
      </c>
      <c r="C146" s="16" t="inlineStr">
        <is>
          <t>NO</t>
        </is>
      </c>
      <c r="D146" s="16" t="inlineStr">
        <is>
          <t>L-9</t>
        </is>
      </c>
      <c r="E146" s="22">
        <f>SUMIFS(Movements!$D$2:$D$20000,Movements!$B$2:$B$20000,$A146,Movements!$C$2:$C$20000,"RECEIPT")+SUMIFS(Movements!$D$2:$D$20000,Movements!$B$2:$B$20000,$A146,Movements!$C$2:$C$20000,"RETURN")+SUMIFS(Movements!$D$2:$D$20000,Movements!$B$2:$B$20000,$A146,Movements!$C$2:$C$20000,"ADJUST+")-SUMIFS(Movements!$D$2:$D$20000,Movements!$B$2:$B$20000,$A146,Movements!$C$2:$C$20000,"ISSUE")-SUMIFS(Movements!$D$2:$D$20000,Movements!$B$2:$B$20000,$A146,Movements!$C$2:$C$20000,"SCRAP")-SUMIFS(Movements!$D$2:$D$20000,Movements!$B$2:$B$20000,$A146,Movements!$C$2:$C$20000,"ADJUST-")</f>
        <v/>
      </c>
      <c r="F146" s="16" t="n">
        <v>5</v>
      </c>
      <c r="G146" s="23">
        <f>IF($E146&lt;=0,"OUT OF STOCK",IF(AND($F146&gt;0,$E146&lt;=$F146*0.2),"LOW STOCK","IN STOCK"))</f>
        <v/>
      </c>
    </row>
    <row r="147" ht="15" customHeight="1" s="13">
      <c r="A147" s="16" t="inlineStr">
        <is>
          <t>7236/0003</t>
        </is>
      </c>
      <c r="B147" s="16" t="inlineStr">
        <is>
          <t>Housing ignition switch plug Merit</t>
        </is>
      </c>
      <c r="C147" s="16" t="inlineStr">
        <is>
          <t>NO</t>
        </is>
      </c>
      <c r="D147" s="16" t="inlineStr">
        <is>
          <t>L-4</t>
        </is>
      </c>
      <c r="E147" s="22">
        <f>SUMIFS(Movements!$D$2:$D$20000,Movements!$B$2:$B$20000,$A147,Movements!$C$2:$C$20000,"RECEIPT")+SUMIFS(Movements!$D$2:$D$20000,Movements!$B$2:$B$20000,$A147,Movements!$C$2:$C$20000,"RETURN")+SUMIFS(Movements!$D$2:$D$20000,Movements!$B$2:$B$20000,$A147,Movements!$C$2:$C$20000,"ADJUST+")-SUMIFS(Movements!$D$2:$D$20000,Movements!$B$2:$B$20000,$A147,Movements!$C$2:$C$20000,"ISSUE")-SUMIFS(Movements!$D$2:$D$20000,Movements!$B$2:$B$20000,$A147,Movements!$C$2:$C$20000,"SCRAP")-SUMIFS(Movements!$D$2:$D$20000,Movements!$B$2:$B$20000,$A147,Movements!$C$2:$C$20000,"ADJUST-")</f>
        <v/>
      </c>
      <c r="F147" s="16" t="n">
        <v>5</v>
      </c>
      <c r="G147" s="23">
        <f>IF($E147&lt;=0,"OUT OF STOCK",IF(AND($F147&gt;0,$E147&lt;=$F147*0.2),"LOW STOCK","IN STOCK"))</f>
        <v/>
      </c>
    </row>
    <row r="148" ht="15" customHeight="1" s="13">
      <c r="A148" s="16" t="inlineStr">
        <is>
          <t>7234/0003</t>
        </is>
      </c>
      <c r="B148" s="16" t="inlineStr">
        <is>
          <t>Housing ignition switch plug Merit</t>
        </is>
      </c>
      <c r="C148" s="16" t="inlineStr">
        <is>
          <t>NO</t>
        </is>
      </c>
      <c r="D148" s="16" t="inlineStr">
        <is>
          <t>L-4</t>
        </is>
      </c>
      <c r="E148" s="22">
        <f>SUMIFS(Movements!$D$2:$D$20000,Movements!$B$2:$B$20000,$A148,Movements!$C$2:$C$20000,"RECEIPT")+SUMIFS(Movements!$D$2:$D$20000,Movements!$B$2:$B$20000,$A148,Movements!$C$2:$C$20000,"RETURN")+SUMIFS(Movements!$D$2:$D$20000,Movements!$B$2:$B$20000,$A148,Movements!$C$2:$C$20000,"ADJUST+")-SUMIFS(Movements!$D$2:$D$20000,Movements!$B$2:$B$20000,$A148,Movements!$C$2:$C$20000,"ISSUE")-SUMIFS(Movements!$D$2:$D$20000,Movements!$B$2:$B$20000,$A148,Movements!$C$2:$C$20000,"SCRAP")-SUMIFS(Movements!$D$2:$D$20000,Movements!$B$2:$B$20000,$A148,Movements!$C$2:$C$20000,"ADJUST-")</f>
        <v/>
      </c>
      <c r="F148" s="16" t="n">
        <v>5</v>
      </c>
      <c r="G148" s="23">
        <f>IF($E148&lt;=0,"OUT OF STOCK",IF(AND($F148&gt;0,$E148&lt;=$F148*0.2),"LOW STOCK","IN STOCK"))</f>
        <v/>
      </c>
    </row>
    <row r="149" ht="15" customHeight="1" s="13">
      <c r="A149" s="16" t="inlineStr">
        <is>
          <t>7239/0031</t>
        </is>
      </c>
      <c r="B149" s="16" t="inlineStr">
        <is>
          <t>36 Way Fem Mini Recpt Hsg</t>
        </is>
      </c>
      <c r="C149" s="16" t="inlineStr">
        <is>
          <t>NO</t>
        </is>
      </c>
      <c r="D149" s="16" t="n"/>
      <c r="E149" s="22">
        <f>SUMIFS(Movements!$D$2:$D$20000,Movements!$B$2:$B$20000,$A149,Movements!$C$2:$C$20000,"RECEIPT")+SUMIFS(Movements!$D$2:$D$20000,Movements!$B$2:$B$20000,$A149,Movements!$C$2:$C$20000,"RETURN")+SUMIFS(Movements!$D$2:$D$20000,Movements!$B$2:$B$20000,$A149,Movements!$C$2:$C$20000,"ADJUST+")-SUMIFS(Movements!$D$2:$D$20000,Movements!$B$2:$B$20000,$A149,Movements!$C$2:$C$20000,"ISSUE")-SUMIFS(Movements!$D$2:$D$20000,Movements!$B$2:$B$20000,$A149,Movements!$C$2:$C$20000,"SCRAP")-SUMIFS(Movements!$D$2:$D$20000,Movements!$B$2:$B$20000,$A149,Movements!$C$2:$C$20000,"ADJUST-")</f>
        <v/>
      </c>
      <c r="F149" s="16" t="n">
        <v>5</v>
      </c>
      <c r="G149" s="23">
        <f>IF($E149&lt;=0,"OUT OF STOCK",IF(AND($F149&gt;0,$E149&lt;=$F149*0.2),"LOW STOCK","IN STOCK"))</f>
        <v/>
      </c>
    </row>
    <row r="150" ht="15" customHeight="1" s="13">
      <c r="A150" s="16" t="inlineStr">
        <is>
          <t>7239/0058</t>
        </is>
      </c>
      <c r="B150" s="16" t="inlineStr">
        <is>
          <t>Fuse Mini 2 Mini Relay Mod 18W.4 -Rev.Lel.-01</t>
        </is>
      </c>
      <c r="C150" s="16" t="inlineStr">
        <is>
          <t>NO</t>
        </is>
      </c>
      <c r="D150" s="16" t="inlineStr">
        <is>
          <t>BIN -4-02</t>
        </is>
      </c>
      <c r="E150" s="22">
        <f>SUMIFS(Movements!$D$2:$D$20000,Movements!$B$2:$B$20000,$A150,Movements!$C$2:$C$20000,"RECEIPT")+SUMIFS(Movements!$D$2:$D$20000,Movements!$B$2:$B$20000,$A150,Movements!$C$2:$C$20000,"RETURN")+SUMIFS(Movements!$D$2:$D$20000,Movements!$B$2:$B$20000,$A150,Movements!$C$2:$C$20000,"ADJUST+")-SUMIFS(Movements!$D$2:$D$20000,Movements!$B$2:$B$20000,$A150,Movements!$C$2:$C$20000,"ISSUE")-SUMIFS(Movements!$D$2:$D$20000,Movements!$B$2:$B$20000,$A150,Movements!$C$2:$C$20000,"SCRAP")-SUMIFS(Movements!$D$2:$D$20000,Movements!$B$2:$B$20000,$A150,Movements!$C$2:$C$20000,"ADJUST-")</f>
        <v/>
      </c>
      <c r="F150" s="16" t="n">
        <v>21</v>
      </c>
      <c r="G150" s="23">
        <f>IF($E150&lt;=0,"OUT OF STOCK",IF(AND($F150&gt;0,$E150&lt;=$F150*0.2),"LOW STOCK","IN STOCK"))</f>
        <v/>
      </c>
    </row>
    <row r="151" ht="15" customHeight="1" s="13">
      <c r="A151" s="16" t="inlineStr">
        <is>
          <t>7239/0059</t>
        </is>
      </c>
      <c r="B151" s="16" t="inlineStr">
        <is>
          <t>6W Mini Fuse/Micro Relay Box</t>
        </is>
      </c>
      <c r="C151" s="16" t="inlineStr">
        <is>
          <t>NO</t>
        </is>
      </c>
      <c r="D151" s="16" t="inlineStr">
        <is>
          <t>L-11</t>
        </is>
      </c>
      <c r="E151" s="22">
        <f>SUMIFS(Movements!$D$2:$D$20000,Movements!$B$2:$B$20000,$A151,Movements!$C$2:$C$20000,"RECEIPT")+SUMIFS(Movements!$D$2:$D$20000,Movements!$B$2:$B$20000,$A151,Movements!$C$2:$C$20000,"RETURN")+SUMIFS(Movements!$D$2:$D$20000,Movements!$B$2:$B$20000,$A151,Movements!$C$2:$C$20000,"ADJUST+")-SUMIFS(Movements!$D$2:$D$20000,Movements!$B$2:$B$20000,$A151,Movements!$C$2:$C$20000,"ISSUE")-SUMIFS(Movements!$D$2:$D$20000,Movements!$B$2:$B$20000,$A151,Movements!$C$2:$C$20000,"SCRAP")-SUMIFS(Movements!$D$2:$D$20000,Movements!$B$2:$B$20000,$A151,Movements!$C$2:$C$20000,"ADJUST-")</f>
        <v/>
      </c>
      <c r="F151" s="16" t="n">
        <v>21</v>
      </c>
      <c r="G151" s="23">
        <f>IF($E151&lt;=0,"OUT OF STOCK",IF(AND($F151&gt;0,$E151&lt;=$F151*0.2),"LOW STOCK","IN STOCK"))</f>
        <v/>
      </c>
    </row>
    <row r="152" ht="15" customHeight="1" s="13">
      <c r="A152" s="16" t="inlineStr">
        <is>
          <t>7212/0031</t>
        </is>
      </c>
      <c r="B152" s="16" t="inlineStr">
        <is>
          <t>2 WAY GREEN DT06 WEDGE</t>
        </is>
      </c>
      <c r="C152" s="16" t="inlineStr">
        <is>
          <t>NO</t>
        </is>
      </c>
      <c r="D152" s="16" t="inlineStr">
        <is>
          <t>L-6</t>
        </is>
      </c>
      <c r="E152" s="22">
        <f>SUMIFS(Movements!$D$2:$D$20000,Movements!$B$2:$B$20000,$A152,Movements!$C$2:$C$20000,"RECEIPT")+SUMIFS(Movements!$D$2:$D$20000,Movements!$B$2:$B$20000,$A152,Movements!$C$2:$C$20000,"RETURN")+SUMIFS(Movements!$D$2:$D$20000,Movements!$B$2:$B$20000,$A152,Movements!$C$2:$C$20000,"ADJUST+")-SUMIFS(Movements!$D$2:$D$20000,Movements!$B$2:$B$20000,$A152,Movements!$C$2:$C$20000,"ISSUE")-SUMIFS(Movements!$D$2:$D$20000,Movements!$B$2:$B$20000,$A152,Movements!$C$2:$C$20000,"SCRAP")-SUMIFS(Movements!$D$2:$D$20000,Movements!$B$2:$B$20000,$A152,Movements!$C$2:$C$20000,"ADJUST-")</f>
        <v/>
      </c>
      <c r="F152" s="16" t="n">
        <v>85</v>
      </c>
      <c r="G152" s="23">
        <f>IF($E152&lt;=0,"OUT OF STOCK",IF(AND($F152&gt;0,$E152&lt;=$F152*0.2),"LOW STOCK","IN STOCK"))</f>
        <v/>
      </c>
    </row>
    <row r="153" ht="15" customHeight="1" s="13">
      <c r="A153" s="16" t="inlineStr">
        <is>
          <t>7201/0105</t>
        </is>
      </c>
      <c r="B153" s="16" t="inlineStr">
        <is>
          <t>0.5-1.0mm2 SIZE 16 SKT TE -Rev.Lel.-03</t>
        </is>
      </c>
      <c r="C153" s="16" t="inlineStr">
        <is>
          <t>NO</t>
        </is>
      </c>
      <c r="D153" s="16" t="inlineStr">
        <is>
          <t>L-10</t>
        </is>
      </c>
      <c r="E153" s="22">
        <f>SUMIFS(Movements!$D$2:$D$20000,Movements!$B$2:$B$20000,$A153,Movements!$C$2:$C$20000,"RECEIPT")+SUMIFS(Movements!$D$2:$D$20000,Movements!$B$2:$B$20000,$A153,Movements!$C$2:$C$20000,"RETURN")+SUMIFS(Movements!$D$2:$D$20000,Movements!$B$2:$B$20000,$A153,Movements!$C$2:$C$20000,"ADJUST+")-SUMIFS(Movements!$D$2:$D$20000,Movements!$B$2:$B$20000,$A153,Movements!$C$2:$C$20000,"ISSUE")-SUMIFS(Movements!$D$2:$D$20000,Movements!$B$2:$B$20000,$A153,Movements!$C$2:$C$20000,"SCRAP")-SUMIFS(Movements!$D$2:$D$20000,Movements!$B$2:$B$20000,$A153,Movements!$C$2:$C$20000,"ADJUST-")</f>
        <v/>
      </c>
      <c r="F153" s="16" t="n">
        <v>390</v>
      </c>
      <c r="G153" s="23">
        <f>IF($E153&lt;=0,"OUT OF STOCK",IF(AND($F153&gt;0,$E153&lt;=$F153*0.2),"LOW STOCK","IN STOCK"))</f>
        <v/>
      </c>
    </row>
    <row r="154" ht="15" customHeight="1" s="13">
      <c r="A154" s="16" t="inlineStr">
        <is>
          <t>7212/0052</t>
        </is>
      </c>
      <c r="B154" s="16" t="inlineStr">
        <is>
          <t>2 Way DT06 Socket Housing</t>
        </is>
      </c>
      <c r="C154" s="16" t="inlineStr">
        <is>
          <t>NO</t>
        </is>
      </c>
      <c r="D154" s="16" t="inlineStr">
        <is>
          <t>L-9</t>
        </is>
      </c>
      <c r="E154" s="22">
        <f>SUMIFS(Movements!$D$2:$D$20000,Movements!$B$2:$B$20000,$A154,Movements!$C$2:$C$20000,"RECEIPT")+SUMIFS(Movements!$D$2:$D$20000,Movements!$B$2:$B$20000,$A154,Movements!$C$2:$C$20000,"RETURN")+SUMIFS(Movements!$D$2:$D$20000,Movements!$B$2:$B$20000,$A154,Movements!$C$2:$C$20000,"ADJUST+")-SUMIFS(Movements!$D$2:$D$20000,Movements!$B$2:$B$20000,$A154,Movements!$C$2:$C$20000,"ISSUE")-SUMIFS(Movements!$D$2:$D$20000,Movements!$B$2:$B$20000,$A154,Movements!$C$2:$C$20000,"SCRAP")-SUMIFS(Movements!$D$2:$D$20000,Movements!$B$2:$B$20000,$A154,Movements!$C$2:$C$20000,"ADJUST-")</f>
        <v/>
      </c>
      <c r="F154" s="16" t="n">
        <v>60</v>
      </c>
      <c r="G154" s="23">
        <f>IF($E154&lt;=0,"OUT OF STOCK",IF(AND($F154&gt;0,$E154&lt;=$F154*0.2),"LOW STOCK","IN STOCK"))</f>
        <v/>
      </c>
    </row>
    <row r="155" ht="15" customHeight="1" s="13">
      <c r="A155" s="16" t="inlineStr">
        <is>
          <t>7210/0224</t>
        </is>
      </c>
      <c r="B155" s="16" t="inlineStr">
        <is>
          <t>Wire Seal 1.8-2.9mm HX187 Dark Green</t>
        </is>
      </c>
      <c r="C155" s="16" t="inlineStr">
        <is>
          <t>NO</t>
        </is>
      </c>
      <c r="D155" s="16" t="n"/>
      <c r="E155" s="22">
        <f>SUMIFS(Movements!$D$2:$D$20000,Movements!$B$2:$B$20000,$A155,Movements!$C$2:$C$20000,"RECEIPT")+SUMIFS(Movements!$D$2:$D$20000,Movements!$B$2:$B$20000,$A155,Movements!$C$2:$C$20000,"RETURN")+SUMIFS(Movements!$D$2:$D$20000,Movements!$B$2:$B$20000,$A155,Movements!$C$2:$C$20000,"ADJUST+")-SUMIFS(Movements!$D$2:$D$20000,Movements!$B$2:$B$20000,$A155,Movements!$C$2:$C$20000,"ISSUE")-SUMIFS(Movements!$D$2:$D$20000,Movements!$B$2:$B$20000,$A155,Movements!$C$2:$C$20000,"SCRAP")-SUMIFS(Movements!$D$2:$D$20000,Movements!$B$2:$B$20000,$A155,Movements!$C$2:$C$20000,"ADJUST-")</f>
        <v/>
      </c>
      <c r="F155" s="16" t="n">
        <v>10</v>
      </c>
      <c r="G155" s="23">
        <f>IF($E155&lt;=0,"OUT OF STOCK",IF(AND($F155&gt;0,$E155&lt;=$F155*0.2),"LOW STOCK","IN STOCK"))</f>
        <v/>
      </c>
    </row>
    <row r="156" ht="15" customHeight="1" s="13">
      <c r="A156" s="16" t="inlineStr">
        <is>
          <t>7201/0470</t>
        </is>
      </c>
      <c r="B156" s="16" t="inlineStr">
        <is>
          <t>6.3 Fem Fastin Faston 4.0-6.0 Dimple</t>
        </is>
      </c>
      <c r="C156" s="16" t="inlineStr">
        <is>
          <t>NO</t>
        </is>
      </c>
      <c r="D156" s="16" t="inlineStr">
        <is>
          <t>L-10</t>
        </is>
      </c>
      <c r="E156" s="22">
        <f>SUMIFS(Movements!$D$2:$D$20000,Movements!$B$2:$B$20000,$A156,Movements!$C$2:$C$20000,"RECEIPT")+SUMIFS(Movements!$D$2:$D$20000,Movements!$B$2:$B$20000,$A156,Movements!$C$2:$C$20000,"RETURN")+SUMIFS(Movements!$D$2:$D$20000,Movements!$B$2:$B$20000,$A156,Movements!$C$2:$C$20000,"ADJUST+")-SUMIFS(Movements!$D$2:$D$20000,Movements!$B$2:$B$20000,$A156,Movements!$C$2:$C$20000,"ISSUE")-SUMIFS(Movements!$D$2:$D$20000,Movements!$B$2:$B$20000,$A156,Movements!$C$2:$C$20000,"SCRAP")-SUMIFS(Movements!$D$2:$D$20000,Movements!$B$2:$B$20000,$A156,Movements!$C$2:$C$20000,"ADJUST-")</f>
        <v/>
      </c>
      <c r="F156" s="16" t="n">
        <v>100</v>
      </c>
      <c r="G156" s="23">
        <f>IF($E156&lt;=0,"OUT OF STOCK",IF(AND($F156&gt;0,$E156&lt;=$F156*0.2),"LOW STOCK","IN STOCK"))</f>
        <v/>
      </c>
    </row>
    <row r="157" ht="15" customHeight="1" s="13">
      <c r="A157" s="16" t="inlineStr">
        <is>
          <t>7243/0361</t>
        </is>
      </c>
      <c r="B157" s="16" t="inlineStr">
        <is>
          <t>2W DT06 Orange wedge (HP's only, unsealed)</t>
        </is>
      </c>
      <c r="C157" s="16" t="inlineStr">
        <is>
          <t>NO</t>
        </is>
      </c>
      <c r="D157" s="16" t="inlineStr">
        <is>
          <t>EMC 3</t>
        </is>
      </c>
      <c r="E157" s="22">
        <f>SUMIFS(Movements!$D$2:$D$20000,Movements!$B$2:$B$20000,$A157,Movements!$C$2:$C$20000,"RECEIPT")+SUMIFS(Movements!$D$2:$D$20000,Movements!$B$2:$B$20000,$A157,Movements!$C$2:$C$20000,"RETURN")+SUMIFS(Movements!$D$2:$D$20000,Movements!$B$2:$B$20000,$A157,Movements!$C$2:$C$20000,"ADJUST+")-SUMIFS(Movements!$D$2:$D$20000,Movements!$B$2:$B$20000,$A157,Movements!$C$2:$C$20000,"ISSUE")-SUMIFS(Movements!$D$2:$D$20000,Movements!$B$2:$B$20000,$A157,Movements!$C$2:$C$20000,"SCRAP")-SUMIFS(Movements!$D$2:$D$20000,Movements!$B$2:$B$20000,$A157,Movements!$C$2:$C$20000,"ADJUST-")</f>
        <v/>
      </c>
      <c r="F157" s="16" t="n">
        <v>20</v>
      </c>
      <c r="G157" s="23">
        <f>IF($E157&lt;=0,"OUT OF STOCK",IF(AND($F157&gt;0,$E157&lt;=$F157*0.2),"LOW STOCK","IN STOCK"))</f>
        <v/>
      </c>
    </row>
    <row r="158" ht="15" customHeight="1" s="13">
      <c r="A158" s="16" t="inlineStr">
        <is>
          <t>7212/0081</t>
        </is>
      </c>
      <c r="B158" s="16" t="inlineStr">
        <is>
          <t>2 WAY DT06 SKT HSG NO END CAP</t>
        </is>
      </c>
      <c r="C158" s="16" t="inlineStr">
        <is>
          <t>NO</t>
        </is>
      </c>
      <c r="D158" s="16" t="inlineStr">
        <is>
          <t>S-5</t>
        </is>
      </c>
      <c r="E158" s="22">
        <f>SUMIFS(Movements!$D$2:$D$20000,Movements!$B$2:$B$20000,$A158,Movements!$C$2:$C$20000,"RECEIPT")+SUMIFS(Movements!$D$2:$D$20000,Movements!$B$2:$B$20000,$A158,Movements!$C$2:$C$20000,"RETURN")+SUMIFS(Movements!$D$2:$D$20000,Movements!$B$2:$B$20000,$A158,Movements!$C$2:$C$20000,"ADJUST+")-SUMIFS(Movements!$D$2:$D$20000,Movements!$B$2:$B$20000,$A158,Movements!$C$2:$C$20000,"ISSUE")-SUMIFS(Movements!$D$2:$D$20000,Movements!$B$2:$B$20000,$A158,Movements!$C$2:$C$20000,"SCRAP")-SUMIFS(Movements!$D$2:$D$20000,Movements!$B$2:$B$20000,$A158,Movements!$C$2:$C$20000,"ADJUST-")</f>
        <v/>
      </c>
      <c r="F158" s="16" t="n">
        <v>60</v>
      </c>
      <c r="G158" s="23">
        <f>IF($E158&lt;=0,"OUT OF STOCK",IF(AND($F158&gt;0,$E158&lt;=$F158*0.2),"LOW STOCK","IN STOCK"))</f>
        <v/>
      </c>
    </row>
    <row r="159" ht="15" customHeight="1" s="13">
      <c r="A159" s="16" t="inlineStr">
        <is>
          <t>7212/0044</t>
        </is>
      </c>
      <c r="B159" s="16" t="inlineStr">
        <is>
          <t>2 Way Superseal Skt Housing</t>
        </is>
      </c>
      <c r="C159" s="16" t="inlineStr">
        <is>
          <t>NO</t>
        </is>
      </c>
      <c r="D159" s="16" t="inlineStr">
        <is>
          <t>L-4</t>
        </is>
      </c>
      <c r="E159" s="22">
        <f>SUMIFS(Movements!$D$2:$D$20000,Movements!$B$2:$B$20000,$A159,Movements!$C$2:$C$20000,"RECEIPT")+SUMIFS(Movements!$D$2:$D$20000,Movements!$B$2:$B$20000,$A159,Movements!$C$2:$C$20000,"RETURN")+SUMIFS(Movements!$D$2:$D$20000,Movements!$B$2:$B$20000,$A159,Movements!$C$2:$C$20000,"ADJUST+")-SUMIFS(Movements!$D$2:$D$20000,Movements!$B$2:$B$20000,$A159,Movements!$C$2:$C$20000,"ISSUE")-SUMIFS(Movements!$D$2:$D$20000,Movements!$B$2:$B$20000,$A159,Movements!$C$2:$C$20000,"SCRAP")-SUMIFS(Movements!$D$2:$D$20000,Movements!$B$2:$B$20000,$A159,Movements!$C$2:$C$20000,"ADJUST-")</f>
        <v/>
      </c>
      <c r="F159" s="16" t="n">
        <v>10</v>
      </c>
      <c r="G159" s="23">
        <f>IF($E159&lt;=0,"OUT OF STOCK",IF(AND($F159&gt;0,$E159&lt;=$F159*0.2),"LOW STOCK","IN STOCK"))</f>
        <v/>
      </c>
    </row>
    <row r="160" ht="15" customHeight="1" s="13">
      <c r="A160" s="16" t="inlineStr">
        <is>
          <t>7210/0044</t>
        </is>
      </c>
      <c r="B160" s="16" t="inlineStr">
        <is>
          <t>Wire Seal 1.70-2.40mm Superseal Yellow</t>
        </is>
      </c>
      <c r="C160" s="16" t="inlineStr">
        <is>
          <t>NO</t>
        </is>
      </c>
      <c r="D160" s="16" t="inlineStr">
        <is>
          <t>seal box</t>
        </is>
      </c>
      <c r="E160" s="22">
        <f>SUMIFS(Movements!$D$2:$D$20000,Movements!$B$2:$B$20000,$A160,Movements!$C$2:$C$20000,"RECEIPT")+SUMIFS(Movements!$D$2:$D$20000,Movements!$B$2:$B$20000,$A160,Movements!$C$2:$C$20000,"RETURN")+SUMIFS(Movements!$D$2:$D$20000,Movements!$B$2:$B$20000,$A160,Movements!$C$2:$C$20000,"ADJUST+")-SUMIFS(Movements!$D$2:$D$20000,Movements!$B$2:$B$20000,$A160,Movements!$C$2:$C$20000,"ISSUE")-SUMIFS(Movements!$D$2:$D$20000,Movements!$B$2:$B$20000,$A160,Movements!$C$2:$C$20000,"SCRAP")-SUMIFS(Movements!$D$2:$D$20000,Movements!$B$2:$B$20000,$A160,Movements!$C$2:$C$20000,"ADJUST-")</f>
        <v/>
      </c>
      <c r="F160" s="16" t="n">
        <v>10</v>
      </c>
      <c r="G160" s="23">
        <f>IF($E160&lt;=0,"OUT OF STOCK",IF(AND($F160&gt;0,$E160&lt;=$F160*0.2),"LOW STOCK","IN STOCK"))</f>
        <v/>
      </c>
    </row>
    <row r="161" ht="15" customHeight="1" s="13">
      <c r="A161" s="16" t="inlineStr">
        <is>
          <t>7207/1514</t>
        </is>
      </c>
      <c r="B161" s="16" t="inlineStr">
        <is>
          <t>Ring Terminal M10 10.0-16.0</t>
        </is>
      </c>
      <c r="C161" s="16" t="inlineStr">
        <is>
          <t>NO</t>
        </is>
      </c>
      <c r="D161" s="16" t="n"/>
      <c r="E161" s="22">
        <f>SUMIFS(Movements!$D$2:$D$20000,Movements!$B$2:$B$20000,$A161,Movements!$C$2:$C$20000,"RECEIPT")+SUMIFS(Movements!$D$2:$D$20000,Movements!$B$2:$B$20000,$A161,Movements!$C$2:$C$20000,"RETURN")+SUMIFS(Movements!$D$2:$D$20000,Movements!$B$2:$B$20000,$A161,Movements!$C$2:$C$20000,"ADJUST+")-SUMIFS(Movements!$D$2:$D$20000,Movements!$B$2:$B$20000,$A161,Movements!$C$2:$C$20000,"ISSUE")-SUMIFS(Movements!$D$2:$D$20000,Movements!$B$2:$B$20000,$A161,Movements!$C$2:$C$20000,"SCRAP")-SUMIFS(Movements!$D$2:$D$20000,Movements!$B$2:$B$20000,$A161,Movements!$C$2:$C$20000,"ADJUST-")</f>
        <v/>
      </c>
      <c r="F161" s="16" t="n">
        <v>10</v>
      </c>
      <c r="G161" s="23">
        <f>IF($E161&lt;=0,"OUT OF STOCK",IF(AND($F161&gt;0,$E161&lt;=$F161*0.2),"LOW STOCK","IN STOCK"))</f>
        <v/>
      </c>
    </row>
    <row r="162" ht="15" customHeight="1" s="13">
      <c r="A162" s="16" t="inlineStr">
        <is>
          <t>7207/1417</t>
        </is>
      </c>
      <c r="B162" s="16" t="inlineStr">
        <is>
          <t>Ring Terminal M8 1.0-2.5</t>
        </is>
      </c>
      <c r="C162" s="16" t="inlineStr">
        <is>
          <t>NO</t>
        </is>
      </c>
      <c r="D162" s="16" t="inlineStr">
        <is>
          <t>L-7</t>
        </is>
      </c>
      <c r="E162" s="22">
        <f>SUMIFS(Movements!$D$2:$D$20000,Movements!$B$2:$B$20000,$A162,Movements!$C$2:$C$20000,"RECEIPT")+SUMIFS(Movements!$D$2:$D$20000,Movements!$B$2:$B$20000,$A162,Movements!$C$2:$C$20000,"RETURN")+SUMIFS(Movements!$D$2:$D$20000,Movements!$B$2:$B$20000,$A162,Movements!$C$2:$C$20000,"ADJUST+")-SUMIFS(Movements!$D$2:$D$20000,Movements!$B$2:$B$20000,$A162,Movements!$C$2:$C$20000,"ISSUE")-SUMIFS(Movements!$D$2:$D$20000,Movements!$B$2:$B$20000,$A162,Movements!$C$2:$C$20000,"SCRAP")-SUMIFS(Movements!$D$2:$D$20000,Movements!$B$2:$B$20000,$A162,Movements!$C$2:$C$20000,"ADJUST-")</f>
        <v/>
      </c>
      <c r="F162" s="16" t="n">
        <v>5</v>
      </c>
      <c r="G162" s="23">
        <f>IF($E162&lt;=0,"OUT OF STOCK",IF(AND($F162&gt;0,$E162&lt;=$F162*0.2),"LOW STOCK","IN STOCK"))</f>
        <v/>
      </c>
    </row>
    <row r="163" ht="15" customHeight="1" s="13">
      <c r="A163" s="16" t="inlineStr">
        <is>
          <t>7207/1302</t>
        </is>
      </c>
      <c r="B163" s="16" t="inlineStr">
        <is>
          <t>RING TERMINAL M6 4.0-6.0</t>
        </is>
      </c>
      <c r="C163" s="16" t="inlineStr">
        <is>
          <t>NO</t>
        </is>
      </c>
      <c r="D163" s="16" t="inlineStr">
        <is>
          <t>L-5</t>
        </is>
      </c>
      <c r="E163" s="22">
        <f>SUMIFS(Movements!$D$2:$D$20000,Movements!$B$2:$B$20000,$A163,Movements!$C$2:$C$20000,"RECEIPT")+SUMIFS(Movements!$D$2:$D$20000,Movements!$B$2:$B$20000,$A163,Movements!$C$2:$C$20000,"RETURN")+SUMIFS(Movements!$D$2:$D$20000,Movements!$B$2:$B$20000,$A163,Movements!$C$2:$C$20000,"ADJUST+")-SUMIFS(Movements!$D$2:$D$20000,Movements!$B$2:$B$20000,$A163,Movements!$C$2:$C$20000,"ISSUE")-SUMIFS(Movements!$D$2:$D$20000,Movements!$B$2:$B$20000,$A163,Movements!$C$2:$C$20000,"SCRAP")-SUMIFS(Movements!$D$2:$D$20000,Movements!$B$2:$B$20000,$A163,Movements!$C$2:$C$20000,"ADJUST-")</f>
        <v/>
      </c>
      <c r="F163" s="16" t="n">
        <v>5</v>
      </c>
      <c r="G163" s="23">
        <f>IF($E163&lt;=0,"OUT OF STOCK",IF(AND($F163&gt;0,$E163&lt;=$F163*0.2),"LOW STOCK","IN STOCK"))</f>
        <v/>
      </c>
    </row>
    <row r="164" ht="15" customHeight="1" s="13">
      <c r="A164" s="16" t="inlineStr">
        <is>
          <t>7201/0094</t>
        </is>
      </c>
      <c r="B164" s="16" t="inlineStr">
        <is>
          <t>0.75-1.50mm² Socket Terminal Superseal</t>
        </is>
      </c>
      <c r="C164" s="16" t="inlineStr">
        <is>
          <t>NO</t>
        </is>
      </c>
      <c r="D164" s="16" t="inlineStr">
        <is>
          <t>D2-1</t>
        </is>
      </c>
      <c r="E164" s="22">
        <f>SUMIFS(Movements!$D$2:$D$20000,Movements!$B$2:$B$20000,$A164,Movements!$C$2:$C$20000,"RECEIPT")+SUMIFS(Movements!$D$2:$D$20000,Movements!$B$2:$B$20000,$A164,Movements!$C$2:$C$20000,"RETURN")+SUMIFS(Movements!$D$2:$D$20000,Movements!$B$2:$B$20000,$A164,Movements!$C$2:$C$20000,"ADJUST+")-SUMIFS(Movements!$D$2:$D$20000,Movements!$B$2:$B$20000,$A164,Movements!$C$2:$C$20000,"ISSUE")-SUMIFS(Movements!$D$2:$D$20000,Movements!$B$2:$B$20000,$A164,Movements!$C$2:$C$20000,"SCRAP")-SUMIFS(Movements!$D$2:$D$20000,Movements!$B$2:$B$20000,$A164,Movements!$C$2:$C$20000,"ADJUST-")</f>
        <v/>
      </c>
      <c r="F164" s="16" t="n">
        <v>70</v>
      </c>
      <c r="G164" s="23">
        <f>IF($E164&lt;=0,"OUT OF STOCK",IF(AND($F164&gt;0,$E164&lt;=$F164*0.2),"LOW STOCK","IN STOCK"))</f>
        <v/>
      </c>
    </row>
    <row r="165" ht="15" customHeight="1" s="13">
      <c r="A165" s="16" t="inlineStr">
        <is>
          <t>7201/0069</t>
        </is>
      </c>
      <c r="B165" s="16" t="inlineStr">
        <is>
          <t>0.75-2.00mm² (14-18AWG) Skt term</t>
        </is>
      </c>
      <c r="C165" s="16" t="inlineStr">
        <is>
          <t>NO</t>
        </is>
      </c>
      <c r="D165" s="16" t="inlineStr">
        <is>
          <t>D1-3</t>
        </is>
      </c>
      <c r="E165" s="22">
        <f>SUMIFS(Movements!$D$2:$D$20000,Movements!$B$2:$B$20000,$A165,Movements!$C$2:$C$20000,"RECEIPT")+SUMIFS(Movements!$D$2:$D$20000,Movements!$B$2:$B$20000,$A165,Movements!$C$2:$C$20000,"RETURN")+SUMIFS(Movements!$D$2:$D$20000,Movements!$B$2:$B$20000,$A165,Movements!$C$2:$C$20000,"ADJUST+")-SUMIFS(Movements!$D$2:$D$20000,Movements!$B$2:$B$20000,$A165,Movements!$C$2:$C$20000,"ISSUE")-SUMIFS(Movements!$D$2:$D$20000,Movements!$B$2:$B$20000,$A165,Movements!$C$2:$C$20000,"SCRAP")-SUMIFS(Movements!$D$2:$D$20000,Movements!$B$2:$B$20000,$A165,Movements!$C$2:$C$20000,"ADJUST-")</f>
        <v/>
      </c>
      <c r="F165" s="16" t="n">
        <v>110</v>
      </c>
      <c r="G165" s="23">
        <f>IF($E165&lt;=0,"OUT OF STOCK",IF(AND($F165&gt;0,$E165&lt;=$F165*0.2),"LOW STOCK","IN STOCK"))</f>
        <v/>
      </c>
    </row>
    <row r="166" ht="15" customHeight="1" s="13">
      <c r="A166" s="16" t="inlineStr">
        <is>
          <t>332/E0988</t>
        </is>
      </c>
      <c r="B166" s="16" t="inlineStr">
        <is>
          <t>DEUTSCH DT 2 WAY BLANKING CAP -Rev.Lel.-01</t>
        </is>
      </c>
      <c r="C166" s="16" t="inlineStr">
        <is>
          <t>NO</t>
        </is>
      </c>
      <c r="D166" s="16" t="n"/>
      <c r="E166" s="22">
        <f>SUMIFS(Movements!$D$2:$D$20000,Movements!$B$2:$B$20000,$A166,Movements!$C$2:$C$20000,"RECEIPT")+SUMIFS(Movements!$D$2:$D$20000,Movements!$B$2:$B$20000,$A166,Movements!$C$2:$C$20000,"RETURN")+SUMIFS(Movements!$D$2:$D$20000,Movements!$B$2:$B$20000,$A166,Movements!$C$2:$C$20000,"ADJUST+")-SUMIFS(Movements!$D$2:$D$20000,Movements!$B$2:$B$20000,$A166,Movements!$C$2:$C$20000,"ISSUE")-SUMIFS(Movements!$D$2:$D$20000,Movements!$B$2:$B$20000,$A166,Movements!$C$2:$C$20000,"SCRAP")-SUMIFS(Movements!$D$2:$D$20000,Movements!$B$2:$B$20000,$A166,Movements!$C$2:$C$20000,"ADJUST-")</f>
        <v/>
      </c>
      <c r="F166" s="16" t="n">
        <v>5</v>
      </c>
      <c r="G166" s="23">
        <f>IF($E166&lt;=0,"OUT OF STOCK",IF(AND($F166&gt;0,$E166&lt;=$F166*0.2),"LOW STOCK","IN STOCK"))</f>
        <v/>
      </c>
    </row>
    <row r="167" ht="15" customHeight="1" s="13">
      <c r="A167" s="16" t="inlineStr">
        <is>
          <t>7243/0460</t>
        </is>
      </c>
      <c r="B167" s="16" t="inlineStr">
        <is>
          <t>BRACKET FOR MTA FUSE MODU</t>
        </is>
      </c>
      <c r="C167" s="16" t="inlineStr">
        <is>
          <t>NO</t>
        </is>
      </c>
      <c r="D167" s="16" t="inlineStr">
        <is>
          <t>L-6</t>
        </is>
      </c>
      <c r="E167" s="22">
        <f>SUMIFS(Movements!$D$2:$D$20000,Movements!$B$2:$B$20000,$A167,Movements!$C$2:$C$20000,"RECEIPT")+SUMIFS(Movements!$D$2:$D$20000,Movements!$B$2:$B$20000,$A167,Movements!$C$2:$C$20000,"RETURN")+SUMIFS(Movements!$D$2:$D$20000,Movements!$B$2:$B$20000,$A167,Movements!$C$2:$C$20000,"ADJUST+")-SUMIFS(Movements!$D$2:$D$20000,Movements!$B$2:$B$20000,$A167,Movements!$C$2:$C$20000,"ISSUE")-SUMIFS(Movements!$D$2:$D$20000,Movements!$B$2:$B$20000,$A167,Movements!$C$2:$C$20000,"SCRAP")-SUMIFS(Movements!$D$2:$D$20000,Movements!$B$2:$B$20000,$A167,Movements!$C$2:$C$20000,"ADJUST-")</f>
        <v/>
      </c>
      <c r="F167" s="16" t="n">
        <v>15</v>
      </c>
      <c r="G167" s="23">
        <f>IF($E167&lt;=0,"OUT OF STOCK",IF(AND($F167&gt;0,$E167&lt;=$F167*0.2),"LOW STOCK","IN STOCK"))</f>
        <v/>
      </c>
    </row>
    <row r="168" ht="15" customHeight="1" s="13">
      <c r="A168" s="16" t="inlineStr">
        <is>
          <t>7243/0459</t>
        </is>
      </c>
      <c r="B168" s="16" t="inlineStr">
        <is>
          <t>Cover MTA uni/maxi fuse module</t>
        </is>
      </c>
      <c r="C168" s="16" t="inlineStr">
        <is>
          <t>NO</t>
        </is>
      </c>
      <c r="D168" s="16" t="inlineStr">
        <is>
          <t>BIN -4-01</t>
        </is>
      </c>
      <c r="E168" s="22">
        <f>SUMIFS(Movements!$D$2:$D$20000,Movements!$B$2:$B$20000,$A168,Movements!$C$2:$C$20000,"RECEIPT")+SUMIFS(Movements!$D$2:$D$20000,Movements!$B$2:$B$20000,$A168,Movements!$C$2:$C$20000,"RETURN")+SUMIFS(Movements!$D$2:$D$20000,Movements!$B$2:$B$20000,$A168,Movements!$C$2:$C$20000,"ADJUST+")-SUMIFS(Movements!$D$2:$D$20000,Movements!$B$2:$B$20000,$A168,Movements!$C$2:$C$20000,"ISSUE")-SUMIFS(Movements!$D$2:$D$20000,Movements!$B$2:$B$20000,$A168,Movements!$C$2:$C$20000,"SCRAP")-SUMIFS(Movements!$D$2:$D$20000,Movements!$B$2:$B$20000,$A168,Movements!$C$2:$C$20000,"ADJUST-")</f>
        <v/>
      </c>
      <c r="F168" s="16" t="n">
        <v>15</v>
      </c>
      <c r="G168" s="23">
        <f>IF($E168&lt;=0,"OUT OF STOCK",IF(AND($F168&gt;0,$E168&lt;=$F168*0.2),"LOW STOCK","IN STOCK"))</f>
        <v/>
      </c>
    </row>
    <row r="169" ht="15" customHeight="1" s="13">
      <c r="A169" s="16" t="inlineStr">
        <is>
          <t>7243/0427</t>
        </is>
      </c>
      <c r="B169" s="16" t="inlineStr">
        <is>
          <t>Secondary lock MTA 36W fusebox</t>
        </is>
      </c>
      <c r="C169" s="16" t="inlineStr">
        <is>
          <t>NO</t>
        </is>
      </c>
      <c r="D169" s="16" t="n"/>
      <c r="E169" s="22">
        <f>SUMIFS(Movements!$D$2:$D$20000,Movements!$B$2:$B$20000,$A169,Movements!$C$2:$C$20000,"RECEIPT")+SUMIFS(Movements!$D$2:$D$20000,Movements!$B$2:$B$20000,$A169,Movements!$C$2:$C$20000,"RETURN")+SUMIFS(Movements!$D$2:$D$20000,Movements!$B$2:$B$20000,$A169,Movements!$C$2:$C$20000,"ADJUST+")-SUMIFS(Movements!$D$2:$D$20000,Movements!$B$2:$B$20000,$A169,Movements!$C$2:$C$20000,"ISSUE")-SUMIFS(Movements!$D$2:$D$20000,Movements!$B$2:$B$20000,$A169,Movements!$C$2:$C$20000,"SCRAP")-SUMIFS(Movements!$D$2:$D$20000,Movements!$B$2:$B$20000,$A169,Movements!$C$2:$C$20000,"ADJUST-")</f>
        <v/>
      </c>
      <c r="F169" s="16" t="n">
        <v>15</v>
      </c>
      <c r="G169" s="23">
        <f>IF($E169&lt;=0,"OUT OF STOCK",IF(AND($F169&gt;0,$E169&lt;=$F169*0.2),"LOW STOCK","IN STOCK"))</f>
        <v/>
      </c>
    </row>
    <row r="170" ht="15" customHeight="1" s="13">
      <c r="A170" s="16" t="inlineStr">
        <is>
          <t>7201/0784</t>
        </is>
      </c>
      <c r="B170" s="16" t="inlineStr">
        <is>
          <t>2.0 - 3.0 MM2 F630E FEM T</t>
        </is>
      </c>
      <c r="C170" s="16" t="inlineStr">
        <is>
          <t>NO</t>
        </is>
      </c>
      <c r="D170" s="16" t="inlineStr">
        <is>
          <t>L-5</t>
        </is>
      </c>
      <c r="E170" s="22">
        <f>SUMIFS(Movements!$D$2:$D$20000,Movements!$B$2:$B$20000,$A170,Movements!$C$2:$C$20000,"RECEIPT")+SUMIFS(Movements!$D$2:$D$20000,Movements!$B$2:$B$20000,$A170,Movements!$C$2:$C$20000,"RETURN")+SUMIFS(Movements!$D$2:$D$20000,Movements!$B$2:$B$20000,$A170,Movements!$C$2:$C$20000,"ADJUST+")-SUMIFS(Movements!$D$2:$D$20000,Movements!$B$2:$B$20000,$A170,Movements!$C$2:$C$20000,"ISSUE")-SUMIFS(Movements!$D$2:$D$20000,Movements!$B$2:$B$20000,$A170,Movements!$C$2:$C$20000,"SCRAP")-SUMIFS(Movements!$D$2:$D$20000,Movements!$B$2:$B$20000,$A170,Movements!$C$2:$C$20000,"ADJUST-")</f>
        <v/>
      </c>
      <c r="F170" s="16" t="n">
        <v>84</v>
      </c>
      <c r="G170" s="23">
        <f>IF($E170&lt;=0,"OUT OF STOCK",IF(AND($F170&gt;0,$E170&lt;=$F170*0.2),"LOW STOCK","IN STOCK"))</f>
        <v/>
      </c>
    </row>
    <row r="171" ht="15" customHeight="1" s="13">
      <c r="A171" s="16" t="inlineStr">
        <is>
          <t>7201/0785</t>
        </is>
      </c>
      <c r="B171" s="16" t="inlineStr">
        <is>
          <t>4.0-6.0MM2 F630E RELAY TE</t>
        </is>
      </c>
      <c r="C171" s="16" t="inlineStr">
        <is>
          <t>NO</t>
        </is>
      </c>
      <c r="D171" s="16" t="inlineStr">
        <is>
          <t>L-5</t>
        </is>
      </c>
      <c r="E171" s="22">
        <f>SUMIFS(Movements!$D$2:$D$20000,Movements!$B$2:$B$20000,$A171,Movements!$C$2:$C$20000,"RECEIPT")+SUMIFS(Movements!$D$2:$D$20000,Movements!$B$2:$B$20000,$A171,Movements!$C$2:$C$20000,"RETURN")+SUMIFS(Movements!$D$2:$D$20000,Movements!$B$2:$B$20000,$A171,Movements!$C$2:$C$20000,"ADJUST+")-SUMIFS(Movements!$D$2:$D$20000,Movements!$B$2:$B$20000,$A171,Movements!$C$2:$C$20000,"ISSUE")-SUMIFS(Movements!$D$2:$D$20000,Movements!$B$2:$B$20000,$A171,Movements!$C$2:$C$20000,"SCRAP")-SUMIFS(Movements!$D$2:$D$20000,Movements!$B$2:$B$20000,$A171,Movements!$C$2:$C$20000,"ADJUST-")</f>
        <v/>
      </c>
      <c r="F171" s="16" t="n">
        <v>42</v>
      </c>
      <c r="G171" s="23">
        <f>IF($E171&lt;=0,"OUT OF STOCK",IF(AND($F171&gt;0,$E171&lt;=$F171*0.2),"LOW STOCK","IN STOCK"))</f>
        <v/>
      </c>
    </row>
    <row r="172" ht="15" customHeight="1" s="13">
      <c r="A172" s="16" t="inlineStr">
        <is>
          <t>7201/0783</t>
        </is>
      </c>
      <c r="B172" s="16" t="inlineStr">
        <is>
          <t>0.75-1.5MM2 F630E FEM TER</t>
        </is>
      </c>
      <c r="C172" s="16" t="inlineStr">
        <is>
          <t>NO</t>
        </is>
      </c>
      <c r="D172" s="16" t="inlineStr">
        <is>
          <t>L-6</t>
        </is>
      </c>
      <c r="E172" s="22">
        <f>SUMIFS(Movements!$D$2:$D$20000,Movements!$B$2:$B$20000,$A172,Movements!$C$2:$C$20000,"RECEIPT")+SUMIFS(Movements!$D$2:$D$20000,Movements!$B$2:$B$20000,$A172,Movements!$C$2:$C$20000,"RETURN")+SUMIFS(Movements!$D$2:$D$20000,Movements!$B$2:$B$20000,$A172,Movements!$C$2:$C$20000,"ADJUST+")-SUMIFS(Movements!$D$2:$D$20000,Movements!$B$2:$B$20000,$A172,Movements!$C$2:$C$20000,"ISSUE")-SUMIFS(Movements!$D$2:$D$20000,Movements!$B$2:$B$20000,$A172,Movements!$C$2:$C$20000,"SCRAP")-SUMIFS(Movements!$D$2:$D$20000,Movements!$B$2:$B$20000,$A172,Movements!$C$2:$C$20000,"ADJUST-")</f>
        <v/>
      </c>
      <c r="F172" s="16" t="n">
        <v>63</v>
      </c>
      <c r="G172" s="23">
        <f>IF($E172&lt;=0,"OUT OF STOCK",IF(AND($F172&gt;0,$E172&lt;=$F172*0.2),"LOW STOCK","IN STOCK"))</f>
        <v/>
      </c>
    </row>
    <row r="173" ht="15" customHeight="1" s="13">
      <c r="A173" s="16" t="inlineStr">
        <is>
          <t>7201/0782</t>
        </is>
      </c>
      <c r="B173" s="16" t="inlineStr">
        <is>
          <t>0.35-0.5MM2 F630E RELAY T</t>
        </is>
      </c>
      <c r="C173" s="16" t="inlineStr">
        <is>
          <t>NO</t>
        </is>
      </c>
      <c r="D173" s="16" t="inlineStr">
        <is>
          <t>L-5</t>
        </is>
      </c>
      <c r="E173" s="22">
        <f>SUMIFS(Movements!$D$2:$D$20000,Movements!$B$2:$B$20000,$A173,Movements!$C$2:$C$20000,"RECEIPT")+SUMIFS(Movements!$D$2:$D$20000,Movements!$B$2:$B$20000,$A173,Movements!$C$2:$C$20000,"RETURN")+SUMIFS(Movements!$D$2:$D$20000,Movements!$B$2:$B$20000,$A173,Movements!$C$2:$C$20000,"ADJUST+")-SUMIFS(Movements!$D$2:$D$20000,Movements!$B$2:$B$20000,$A173,Movements!$C$2:$C$20000,"ISSUE")-SUMIFS(Movements!$D$2:$D$20000,Movements!$B$2:$B$20000,$A173,Movements!$C$2:$C$20000,"SCRAP")-SUMIFS(Movements!$D$2:$D$20000,Movements!$B$2:$B$20000,$A173,Movements!$C$2:$C$20000,"ADJUST-")</f>
        <v/>
      </c>
      <c r="F173" s="16" t="n">
        <v>5</v>
      </c>
      <c r="G173" s="23">
        <f>IF($E173&lt;=0,"OUT OF STOCK",IF(AND($F173&gt;0,$E173&lt;=$F173*0.2),"LOW STOCK","IN STOCK"))</f>
        <v/>
      </c>
    </row>
    <row r="174" ht="15" customHeight="1" s="13">
      <c r="A174" s="16" t="inlineStr">
        <is>
          <t>7201/0781</t>
        </is>
      </c>
      <c r="B174" s="16" t="inlineStr">
        <is>
          <t>1.5-2.5mm2 F480E Relay Term</t>
        </is>
      </c>
      <c r="C174" s="16" t="inlineStr">
        <is>
          <t>NO</t>
        </is>
      </c>
      <c r="D174" s="16" t="inlineStr">
        <is>
          <t>L-5</t>
        </is>
      </c>
      <c r="E174" s="22">
        <f>SUMIFS(Movements!$D$2:$D$20000,Movements!$B$2:$B$20000,$A174,Movements!$C$2:$C$20000,"RECEIPT")+SUMIFS(Movements!$D$2:$D$20000,Movements!$B$2:$B$20000,$A174,Movements!$C$2:$C$20000,"RETURN")+SUMIFS(Movements!$D$2:$D$20000,Movements!$B$2:$B$20000,$A174,Movements!$C$2:$C$20000,"ADJUST+")-SUMIFS(Movements!$D$2:$D$20000,Movements!$B$2:$B$20000,$A174,Movements!$C$2:$C$20000,"ISSUE")-SUMIFS(Movements!$D$2:$D$20000,Movements!$B$2:$B$20000,$A174,Movements!$C$2:$C$20000,"SCRAP")-SUMIFS(Movements!$D$2:$D$20000,Movements!$B$2:$B$20000,$A174,Movements!$C$2:$C$20000,"ADJUST-")</f>
        <v/>
      </c>
      <c r="F174" s="16" t="n">
        <v>45</v>
      </c>
      <c r="G174" s="23">
        <f>IF($E174&lt;=0,"OUT OF STOCK",IF(AND($F174&gt;0,$E174&lt;=$F174*0.2),"LOW STOCK","IN STOCK"))</f>
        <v/>
      </c>
    </row>
    <row r="175" ht="15" customHeight="1" s="13">
      <c r="A175" s="16" t="inlineStr">
        <is>
          <t>7201/0780</t>
        </is>
      </c>
      <c r="B175" s="16" t="inlineStr">
        <is>
          <t>0.35-1.0mm2 F480E Relay Term</t>
        </is>
      </c>
      <c r="C175" s="16" t="inlineStr">
        <is>
          <t>NO</t>
        </is>
      </c>
      <c r="D175" s="16" t="inlineStr">
        <is>
          <t>L-5</t>
        </is>
      </c>
      <c r="E175" s="22">
        <f>SUMIFS(Movements!$D$2:$D$20000,Movements!$B$2:$B$20000,$A175,Movements!$C$2:$C$20000,"RECEIPT")+SUMIFS(Movements!$D$2:$D$20000,Movements!$B$2:$B$20000,$A175,Movements!$C$2:$C$20000,"RETURN")+SUMIFS(Movements!$D$2:$D$20000,Movements!$B$2:$B$20000,$A175,Movements!$C$2:$C$20000,"ADJUST+")-SUMIFS(Movements!$D$2:$D$20000,Movements!$B$2:$B$20000,$A175,Movements!$C$2:$C$20000,"ISSUE")-SUMIFS(Movements!$D$2:$D$20000,Movements!$B$2:$B$20000,$A175,Movements!$C$2:$C$20000,"SCRAP")-SUMIFS(Movements!$D$2:$D$20000,Movements!$B$2:$B$20000,$A175,Movements!$C$2:$C$20000,"ADJUST-")</f>
        <v/>
      </c>
      <c r="F175" s="16" t="n">
        <v>120</v>
      </c>
      <c r="G175" s="23">
        <f>IF($E175&lt;=0,"OUT OF STOCK",IF(AND($F175&gt;0,$E175&lt;=$F175*0.2),"LOW STOCK","IN STOCK"))</f>
        <v/>
      </c>
    </row>
    <row r="176" ht="15" customHeight="1" s="13">
      <c r="A176" s="16" t="inlineStr">
        <is>
          <t>7201/0777</t>
        </is>
      </c>
      <c r="B176" s="16" t="inlineStr">
        <is>
          <t>2.5-4.0MM2 MINI F280 FEM</t>
        </is>
      </c>
      <c r="C176" s="16" t="inlineStr">
        <is>
          <t>NO</t>
        </is>
      </c>
      <c r="D176" s="16" t="inlineStr">
        <is>
          <t>L-5</t>
        </is>
      </c>
      <c r="E176" s="22">
        <f>SUMIFS(Movements!$D$2:$D$20000,Movements!$B$2:$B$20000,$A176,Movements!$C$2:$C$20000,"RECEIPT")+SUMIFS(Movements!$D$2:$D$20000,Movements!$B$2:$B$20000,$A176,Movements!$C$2:$C$20000,"RETURN")+SUMIFS(Movements!$D$2:$D$20000,Movements!$B$2:$B$20000,$A176,Movements!$C$2:$C$20000,"ADJUST+")-SUMIFS(Movements!$D$2:$D$20000,Movements!$B$2:$B$20000,$A176,Movements!$C$2:$C$20000,"ISSUE")-SUMIFS(Movements!$D$2:$D$20000,Movements!$B$2:$B$20000,$A176,Movements!$C$2:$C$20000,"SCRAP")-SUMIFS(Movements!$D$2:$D$20000,Movements!$B$2:$B$20000,$A176,Movements!$C$2:$C$20000,"ADJUST-")</f>
        <v/>
      </c>
      <c r="F176" s="16" t="n">
        <v>63</v>
      </c>
      <c r="G176" s="23">
        <f>IF($E176&lt;=0,"OUT OF STOCK",IF(AND($F176&gt;0,$E176&lt;=$F176*0.2),"LOW STOCK","IN STOCK"))</f>
        <v/>
      </c>
    </row>
    <row r="177" ht="15" customHeight="1" s="13">
      <c r="A177" s="16" t="inlineStr">
        <is>
          <t>7201/0776</t>
        </is>
      </c>
      <c r="B177" s="16" t="inlineStr">
        <is>
          <t>1.0-2.0MM2 MINI F280 FUSE</t>
        </is>
      </c>
      <c r="C177" s="16" t="inlineStr">
        <is>
          <t>NO</t>
        </is>
      </c>
      <c r="D177" s="16" t="inlineStr">
        <is>
          <t>L-5</t>
        </is>
      </c>
      <c r="E177" s="22">
        <f>SUMIFS(Movements!$D$2:$D$20000,Movements!$B$2:$B$20000,$A177,Movements!$C$2:$C$20000,"RECEIPT")+SUMIFS(Movements!$D$2:$D$20000,Movements!$B$2:$B$20000,$A177,Movements!$C$2:$C$20000,"RETURN")+SUMIFS(Movements!$D$2:$D$20000,Movements!$B$2:$B$20000,$A177,Movements!$C$2:$C$20000,"ADJUST+")-SUMIFS(Movements!$D$2:$D$20000,Movements!$B$2:$B$20000,$A177,Movements!$C$2:$C$20000,"ISSUE")-SUMIFS(Movements!$D$2:$D$20000,Movements!$B$2:$B$20000,$A177,Movements!$C$2:$C$20000,"SCRAP")-SUMIFS(Movements!$D$2:$D$20000,Movements!$B$2:$B$20000,$A177,Movements!$C$2:$C$20000,"ADJUST-")</f>
        <v/>
      </c>
      <c r="F177" s="16" t="n">
        <v>273</v>
      </c>
      <c r="G177" s="23">
        <f>IF($E177&lt;=0,"OUT OF STOCK",IF(AND($F177&gt;0,$E177&lt;=$F177*0.2),"LOW STOCK","IN STOCK"))</f>
        <v/>
      </c>
    </row>
    <row r="178" ht="15" customHeight="1" s="13">
      <c r="A178" s="16" t="inlineStr">
        <is>
          <t>7201/0610</t>
        </is>
      </c>
      <c r="B178" s="16" t="inlineStr">
        <is>
          <t>9.5 Fem Fastin Faston 4.0-6.0</t>
        </is>
      </c>
      <c r="C178" s="16" t="inlineStr">
        <is>
          <t>NO</t>
        </is>
      </c>
      <c r="D178" s="16" t="inlineStr">
        <is>
          <t>L-5</t>
        </is>
      </c>
      <c r="E178" s="22">
        <f>SUMIFS(Movements!$D$2:$D$20000,Movements!$B$2:$B$20000,$A178,Movements!$C$2:$C$20000,"RECEIPT")+SUMIFS(Movements!$D$2:$D$20000,Movements!$B$2:$B$20000,$A178,Movements!$C$2:$C$20000,"RETURN")+SUMIFS(Movements!$D$2:$D$20000,Movements!$B$2:$B$20000,$A178,Movements!$C$2:$C$20000,"ADJUST+")-SUMIFS(Movements!$D$2:$D$20000,Movements!$B$2:$B$20000,$A178,Movements!$C$2:$C$20000,"ISSUE")-SUMIFS(Movements!$D$2:$D$20000,Movements!$B$2:$B$20000,$A178,Movements!$C$2:$C$20000,"SCRAP")-SUMIFS(Movements!$D$2:$D$20000,Movements!$B$2:$B$20000,$A178,Movements!$C$2:$C$20000,"ADJUST-")</f>
        <v/>
      </c>
      <c r="F178" s="16" t="n">
        <v>100</v>
      </c>
      <c r="G178" s="23">
        <f>IF($E178&lt;=0,"OUT OF STOCK",IF(AND($F178&gt;0,$E178&lt;=$F178*0.2),"LOW STOCK","IN STOCK"))</f>
        <v/>
      </c>
    </row>
    <row r="179" ht="15" customHeight="1" s="13">
      <c r="A179" s="16" t="inlineStr">
        <is>
          <t>7212/0003</t>
        </is>
      </c>
      <c r="B179" s="16" t="inlineStr">
        <is>
          <t>2 Way HW090 Socket Retainer</t>
        </is>
      </c>
      <c r="C179" s="16" t="inlineStr">
        <is>
          <t>NO</t>
        </is>
      </c>
      <c r="D179" s="16" t="inlineStr">
        <is>
          <t>L-1</t>
        </is>
      </c>
      <c r="E179" s="22">
        <f>SUMIFS(Movements!$D$2:$D$20000,Movements!$B$2:$B$20000,$A179,Movements!$C$2:$C$20000,"RECEIPT")+SUMIFS(Movements!$D$2:$D$20000,Movements!$B$2:$B$20000,$A179,Movements!$C$2:$C$20000,"RETURN")+SUMIFS(Movements!$D$2:$D$20000,Movements!$B$2:$B$20000,$A179,Movements!$C$2:$C$20000,"ADJUST+")-SUMIFS(Movements!$D$2:$D$20000,Movements!$B$2:$B$20000,$A179,Movements!$C$2:$C$20000,"ISSUE")-SUMIFS(Movements!$D$2:$D$20000,Movements!$B$2:$B$20000,$A179,Movements!$C$2:$C$20000,"SCRAP")-SUMIFS(Movements!$D$2:$D$20000,Movements!$B$2:$B$20000,$A179,Movements!$C$2:$C$20000,"ADJUST-")</f>
        <v/>
      </c>
      <c r="F179" s="16" t="n">
        <v>300</v>
      </c>
      <c r="G179" s="23">
        <f>IF($E179&lt;=0,"OUT OF STOCK",IF(AND($F179&gt;0,$E179&lt;=$F179*0.2),"LOW STOCK","IN STOCK"))</f>
        <v/>
      </c>
    </row>
    <row r="180" ht="15" customHeight="1" s="13">
      <c r="A180" s="16" t="inlineStr">
        <is>
          <t>332/E9928</t>
        </is>
      </c>
      <c r="B180" s="16" t="inlineStr">
        <is>
          <t>2 WAY DL305 MALE HSG -Rev.Lel.-01</t>
        </is>
      </c>
      <c r="C180" s="16" t="inlineStr">
        <is>
          <t>NO</t>
        </is>
      </c>
      <c r="D180" s="16" t="inlineStr">
        <is>
          <t>L-4</t>
        </is>
      </c>
      <c r="E180" s="22">
        <f>SUMIFS(Movements!$D$2:$D$20000,Movements!$B$2:$B$20000,$A180,Movements!$C$2:$C$20000,"RECEIPT")+SUMIFS(Movements!$D$2:$D$20000,Movements!$B$2:$B$20000,$A180,Movements!$C$2:$C$20000,"RETURN")+SUMIFS(Movements!$D$2:$D$20000,Movements!$B$2:$B$20000,$A180,Movements!$C$2:$C$20000,"ADJUST+")-SUMIFS(Movements!$D$2:$D$20000,Movements!$B$2:$B$20000,$A180,Movements!$C$2:$C$20000,"ISSUE")-SUMIFS(Movements!$D$2:$D$20000,Movements!$B$2:$B$20000,$A180,Movements!$C$2:$C$20000,"SCRAP")-SUMIFS(Movements!$D$2:$D$20000,Movements!$B$2:$B$20000,$A180,Movements!$C$2:$C$20000,"ADJUST-")</f>
        <v/>
      </c>
      <c r="F180" s="16" t="n">
        <v>10</v>
      </c>
      <c r="G180" s="23">
        <f>IF($E180&lt;=0,"OUT OF STOCK",IF(AND($F180&gt;0,$E180&lt;=$F180*0.2),"LOW STOCK","IN STOCK"))</f>
        <v/>
      </c>
    </row>
    <row r="181" ht="15" customHeight="1" s="13">
      <c r="A181" s="16" t="inlineStr">
        <is>
          <t>7219/0005</t>
        </is>
      </c>
      <c r="B181" s="16" t="inlineStr">
        <is>
          <t>14 WAY HW090SOCKET HOUSING</t>
        </is>
      </c>
      <c r="C181" s="16" t="inlineStr">
        <is>
          <t>NO</t>
        </is>
      </c>
      <c r="D181" s="16" t="inlineStr">
        <is>
          <t>L-4</t>
        </is>
      </c>
      <c r="E181" s="22">
        <f>SUMIFS(Movements!$D$2:$D$20000,Movements!$B$2:$B$20000,$A181,Movements!$C$2:$C$20000,"RECEIPT")+SUMIFS(Movements!$D$2:$D$20000,Movements!$B$2:$B$20000,$A181,Movements!$C$2:$C$20000,"RETURN")+SUMIFS(Movements!$D$2:$D$20000,Movements!$B$2:$B$20000,$A181,Movements!$C$2:$C$20000,"ADJUST+")-SUMIFS(Movements!$D$2:$D$20000,Movements!$B$2:$B$20000,$A181,Movements!$C$2:$C$20000,"ISSUE")-SUMIFS(Movements!$D$2:$D$20000,Movements!$B$2:$B$20000,$A181,Movements!$C$2:$C$20000,"SCRAP")-SUMIFS(Movements!$D$2:$D$20000,Movements!$B$2:$B$20000,$A181,Movements!$C$2:$C$20000,"ADJUST-")</f>
        <v/>
      </c>
      <c r="F181" s="16" t="n">
        <v>25</v>
      </c>
      <c r="G181" s="23">
        <f>IF($E181&lt;=0,"OUT OF STOCK",IF(AND($F181&gt;0,$E181&lt;=$F181*0.2),"LOW STOCK","IN STOCK"))</f>
        <v/>
      </c>
    </row>
    <row r="182" ht="15" customHeight="1" s="13">
      <c r="A182" s="16" t="inlineStr">
        <is>
          <t>7218/0004</t>
        </is>
      </c>
      <c r="B182" s="16" t="inlineStr">
        <is>
          <t>8 Way HW090 Pin Retainer</t>
        </is>
      </c>
      <c r="C182" s="16" t="inlineStr">
        <is>
          <t>NO</t>
        </is>
      </c>
      <c r="D182" s="16" t="inlineStr">
        <is>
          <t>L-2</t>
        </is>
      </c>
      <c r="E182" s="22">
        <f>SUMIFS(Movements!$D$2:$D$20000,Movements!$B$2:$B$20000,$A182,Movements!$C$2:$C$20000,"RECEIPT")+SUMIFS(Movements!$D$2:$D$20000,Movements!$B$2:$B$20000,$A182,Movements!$C$2:$C$20000,"RETURN")+SUMIFS(Movements!$D$2:$D$20000,Movements!$B$2:$B$20000,$A182,Movements!$C$2:$C$20000,"ADJUST+")-SUMIFS(Movements!$D$2:$D$20000,Movements!$B$2:$B$20000,$A182,Movements!$C$2:$C$20000,"ISSUE")-SUMIFS(Movements!$D$2:$D$20000,Movements!$B$2:$B$20000,$A182,Movements!$C$2:$C$20000,"SCRAP")-SUMIFS(Movements!$D$2:$D$20000,Movements!$B$2:$B$20000,$A182,Movements!$C$2:$C$20000,"ADJUST-")</f>
        <v/>
      </c>
      <c r="F182" s="16" t="n">
        <v>16</v>
      </c>
      <c r="G182" s="23">
        <f>IF($E182&lt;=0,"OUT OF STOCK",IF(AND($F182&gt;0,$E182&lt;=$F182*0.2),"LOW STOCK","IN STOCK"))</f>
        <v/>
      </c>
    </row>
    <row r="183" ht="15" customHeight="1" s="13">
      <c r="A183" s="16" t="inlineStr">
        <is>
          <t>7210/0129</t>
        </is>
      </c>
      <c r="B183" s="16" t="inlineStr">
        <is>
          <t>WIRE SEAL TS187 2.0-2.9 DK GREEN</t>
        </is>
      </c>
      <c r="C183" s="16" t="inlineStr">
        <is>
          <t>NO</t>
        </is>
      </c>
      <c r="D183" s="16" t="inlineStr">
        <is>
          <t>seal box</t>
        </is>
      </c>
      <c r="E183" s="22">
        <f>SUMIFS(Movements!$D$2:$D$20000,Movements!$B$2:$B$20000,$A183,Movements!$C$2:$C$20000,"RECEIPT")+SUMIFS(Movements!$D$2:$D$20000,Movements!$B$2:$B$20000,$A183,Movements!$C$2:$C$20000,"RETURN")+SUMIFS(Movements!$D$2:$D$20000,Movements!$B$2:$B$20000,$A183,Movements!$C$2:$C$20000,"ADJUST+")-SUMIFS(Movements!$D$2:$D$20000,Movements!$B$2:$B$20000,$A183,Movements!$C$2:$C$20000,"ISSUE")-SUMIFS(Movements!$D$2:$D$20000,Movements!$B$2:$B$20000,$A183,Movements!$C$2:$C$20000,"SCRAP")-SUMIFS(Movements!$D$2:$D$20000,Movements!$B$2:$B$20000,$A183,Movements!$C$2:$C$20000,"ADJUST-")</f>
        <v/>
      </c>
      <c r="F183" s="16" t="n">
        <v>10</v>
      </c>
      <c r="G183" s="23">
        <f>IF($E183&lt;=0,"OUT OF STOCK",IF(AND($F183&gt;0,$E183&lt;=$F183*0.2),"LOW STOCK","IN STOCK"))</f>
        <v/>
      </c>
    </row>
    <row r="184" ht="15" customHeight="1" s="13">
      <c r="A184" s="16" t="inlineStr">
        <is>
          <t>7210/0003</t>
        </is>
      </c>
      <c r="B184" s="16" t="inlineStr">
        <is>
          <t>WIRESEAL</t>
        </is>
      </c>
      <c r="C184" s="16" t="inlineStr">
        <is>
          <t>NO</t>
        </is>
      </c>
      <c r="D184" s="16" t="inlineStr">
        <is>
          <t>BIN -6-02</t>
        </is>
      </c>
      <c r="E184" s="22">
        <f>SUMIFS(Movements!$D$2:$D$20000,Movements!$B$2:$B$20000,$A184,Movements!$C$2:$C$20000,"RECEIPT")+SUMIFS(Movements!$D$2:$D$20000,Movements!$B$2:$B$20000,$A184,Movements!$C$2:$C$20000,"RETURN")+SUMIFS(Movements!$D$2:$D$20000,Movements!$B$2:$B$20000,$A184,Movements!$C$2:$C$20000,"ADJUST+")-SUMIFS(Movements!$D$2:$D$20000,Movements!$B$2:$B$20000,$A184,Movements!$C$2:$C$20000,"ISSUE")-SUMIFS(Movements!$D$2:$D$20000,Movements!$B$2:$B$20000,$A184,Movements!$C$2:$C$20000,"SCRAP")-SUMIFS(Movements!$D$2:$D$20000,Movements!$B$2:$B$20000,$A184,Movements!$C$2:$C$20000,"ADJUST-")</f>
        <v/>
      </c>
      <c r="F184" s="16" t="n">
        <v>40</v>
      </c>
      <c r="G184" s="23">
        <f>IF($E184&lt;=0,"OUT OF STOCK",IF(AND($F184&gt;0,$E184&lt;=$F184*0.2),"LOW STOCK","IN STOCK"))</f>
        <v/>
      </c>
    </row>
    <row r="185" ht="15" customHeight="1" s="13">
      <c r="A185" s="16" t="inlineStr">
        <is>
          <t>7204/0089</t>
        </is>
      </c>
      <c r="B185" s="16" t="inlineStr">
        <is>
          <t>5.08.0 TS312 MALE TERM</t>
        </is>
      </c>
      <c r="C185" s="16" t="inlineStr">
        <is>
          <t>NO</t>
        </is>
      </c>
      <c r="D185" s="16" t="inlineStr">
        <is>
          <t>L-10</t>
        </is>
      </c>
      <c r="E185" s="22">
        <f>SUMIFS(Movements!$D$2:$D$20000,Movements!$B$2:$B$20000,$A185,Movements!$C$2:$C$20000,"RECEIPT")+SUMIFS(Movements!$D$2:$D$20000,Movements!$B$2:$B$20000,$A185,Movements!$C$2:$C$20000,"RETURN")+SUMIFS(Movements!$D$2:$D$20000,Movements!$B$2:$B$20000,$A185,Movements!$C$2:$C$20000,"ADJUST+")-SUMIFS(Movements!$D$2:$D$20000,Movements!$B$2:$B$20000,$A185,Movements!$C$2:$C$20000,"ISSUE")-SUMIFS(Movements!$D$2:$D$20000,Movements!$B$2:$B$20000,$A185,Movements!$C$2:$C$20000,"SCRAP")-SUMIFS(Movements!$D$2:$D$20000,Movements!$B$2:$B$20000,$A185,Movements!$C$2:$C$20000,"ADJUST-")</f>
        <v/>
      </c>
      <c r="F185" s="16" t="n">
        <v>10</v>
      </c>
      <c r="G185" s="23">
        <f>IF($E185&lt;=0,"OUT OF STOCK",IF(AND($F185&gt;0,$E185&lt;=$F185*0.2),"LOW STOCK","IN STOCK"))</f>
        <v/>
      </c>
    </row>
    <row r="186" ht="15" customHeight="1" s="13">
      <c r="A186" s="16" t="inlineStr">
        <is>
          <t>7204/0088</t>
        </is>
      </c>
      <c r="B186" s="16" t="inlineStr">
        <is>
          <t>2.0-4.0 SQ.MM TS PIN TERM</t>
        </is>
      </c>
      <c r="C186" s="16" t="inlineStr">
        <is>
          <t>NO</t>
        </is>
      </c>
      <c r="D186" s="16" t="inlineStr">
        <is>
          <t>L-8</t>
        </is>
      </c>
      <c r="E186" s="22">
        <f>SUMIFS(Movements!$D$2:$D$20000,Movements!$B$2:$B$20000,$A186,Movements!$C$2:$C$20000,"RECEIPT")+SUMIFS(Movements!$D$2:$D$20000,Movements!$B$2:$B$20000,$A186,Movements!$C$2:$C$20000,"RETURN")+SUMIFS(Movements!$D$2:$D$20000,Movements!$B$2:$B$20000,$A186,Movements!$C$2:$C$20000,"ADJUST+")-SUMIFS(Movements!$D$2:$D$20000,Movements!$B$2:$B$20000,$A186,Movements!$C$2:$C$20000,"ISSUE")-SUMIFS(Movements!$D$2:$D$20000,Movements!$B$2:$B$20000,$A186,Movements!$C$2:$C$20000,"SCRAP")-SUMIFS(Movements!$D$2:$D$20000,Movements!$B$2:$B$20000,$A186,Movements!$C$2:$C$20000,"ADJUST-")</f>
        <v/>
      </c>
      <c r="F186" s="16" t="n">
        <v>10</v>
      </c>
      <c r="G186" s="23">
        <f>IF($E186&lt;=0,"OUT OF STOCK",IF(AND($F186&gt;0,$E186&lt;=$F186*0.2),"LOW STOCK","IN STOCK"))</f>
        <v/>
      </c>
    </row>
    <row r="187" ht="15" customHeight="1" s="13">
      <c r="A187" s="16" t="inlineStr">
        <is>
          <t>7204/0002</t>
        </is>
      </c>
      <c r="B187" s="16" t="inlineStr">
        <is>
          <t>MALE TERMINAL</t>
        </is>
      </c>
      <c r="C187" s="16" t="inlineStr">
        <is>
          <t>NO</t>
        </is>
      </c>
      <c r="D187" s="16" t="inlineStr">
        <is>
          <t>L-8</t>
        </is>
      </c>
      <c r="E187" s="22">
        <f>SUMIFS(Movements!$D$2:$D$20000,Movements!$B$2:$B$20000,$A187,Movements!$C$2:$C$20000,"RECEIPT")+SUMIFS(Movements!$D$2:$D$20000,Movements!$B$2:$B$20000,$A187,Movements!$C$2:$C$20000,"RETURN")+SUMIFS(Movements!$D$2:$D$20000,Movements!$B$2:$B$20000,$A187,Movements!$C$2:$C$20000,"ADJUST+")-SUMIFS(Movements!$D$2:$D$20000,Movements!$B$2:$B$20000,$A187,Movements!$C$2:$C$20000,"ISSUE")-SUMIFS(Movements!$D$2:$D$20000,Movements!$B$2:$B$20000,$A187,Movements!$C$2:$C$20000,"SCRAP")-SUMIFS(Movements!$D$2:$D$20000,Movements!$B$2:$B$20000,$A187,Movements!$C$2:$C$20000,"ADJUST-")</f>
        <v/>
      </c>
      <c r="F187" s="16" t="n">
        <v>60</v>
      </c>
      <c r="G187" s="23">
        <f>IF($E187&lt;=0,"OUT OF STOCK",IF(AND($F187&gt;0,$E187&lt;=$F187*0.2),"LOW STOCK","IN STOCK"))</f>
        <v/>
      </c>
    </row>
    <row r="188" ht="15" customHeight="1" s="13">
      <c r="A188" s="16" t="inlineStr">
        <is>
          <t>7204/0001</t>
        </is>
      </c>
      <c r="B188" s="16" t="inlineStr">
        <is>
          <t>CRIMP TERMINAL</t>
        </is>
      </c>
      <c r="C188" s="16" t="inlineStr">
        <is>
          <t>NO</t>
        </is>
      </c>
      <c r="D188" s="16" t="inlineStr">
        <is>
          <t>BIN -7-3</t>
        </is>
      </c>
      <c r="E188" s="22">
        <f>SUMIFS(Movements!$D$2:$D$20000,Movements!$B$2:$B$20000,$A188,Movements!$C$2:$C$20000,"RECEIPT")+SUMIFS(Movements!$D$2:$D$20000,Movements!$B$2:$B$20000,$A188,Movements!$C$2:$C$20000,"RETURN")+SUMIFS(Movements!$D$2:$D$20000,Movements!$B$2:$B$20000,$A188,Movements!$C$2:$C$20000,"ADJUST+")-SUMIFS(Movements!$D$2:$D$20000,Movements!$B$2:$B$20000,$A188,Movements!$C$2:$C$20000,"ISSUE")-SUMIFS(Movements!$D$2:$D$20000,Movements!$B$2:$B$20000,$A188,Movements!$C$2:$C$20000,"SCRAP")-SUMIFS(Movements!$D$2:$D$20000,Movements!$B$2:$B$20000,$A188,Movements!$C$2:$C$20000,"ADJUST-")</f>
        <v/>
      </c>
      <c r="F188" s="16" t="n">
        <v>200</v>
      </c>
      <c r="G188" s="23">
        <f>IF($E188&lt;=0,"OUT OF STOCK",IF(AND($F188&gt;0,$E188&lt;=$F188*0.2),"LOW STOCK","IN STOCK"))</f>
        <v/>
      </c>
    </row>
    <row r="189" ht="15" customHeight="1" s="13">
      <c r="A189" s="16" t="inlineStr">
        <is>
          <t>7201/1025</t>
        </is>
      </c>
      <c r="B189" s="16" t="inlineStr">
        <is>
          <t>0.501.25mm2 MTW SKT TERM</t>
        </is>
      </c>
      <c r="C189" s="16" t="inlineStr">
        <is>
          <t>NO</t>
        </is>
      </c>
      <c r="D189" s="16" t="inlineStr">
        <is>
          <t>L-7</t>
        </is>
      </c>
      <c r="E189" s="22">
        <f>SUMIFS(Movements!$D$2:$D$20000,Movements!$B$2:$B$20000,$A189,Movements!$C$2:$C$20000,"RECEIPT")+SUMIFS(Movements!$D$2:$D$20000,Movements!$B$2:$B$20000,$A189,Movements!$C$2:$C$20000,"RETURN")+SUMIFS(Movements!$D$2:$D$20000,Movements!$B$2:$B$20000,$A189,Movements!$C$2:$C$20000,"ADJUST+")-SUMIFS(Movements!$D$2:$D$20000,Movements!$B$2:$B$20000,$A189,Movements!$C$2:$C$20000,"ISSUE")-SUMIFS(Movements!$D$2:$D$20000,Movements!$B$2:$B$20000,$A189,Movements!$C$2:$C$20000,"SCRAP")-SUMIFS(Movements!$D$2:$D$20000,Movements!$B$2:$B$20000,$A189,Movements!$C$2:$C$20000,"ADJUST-")</f>
        <v/>
      </c>
      <c r="F189" s="16" t="n">
        <v>10</v>
      </c>
      <c r="G189" s="23">
        <f>IF($E189&lt;=0,"OUT OF STOCK",IF(AND($F189&gt;0,$E189&lt;=$F189*0.2),"LOW STOCK","IN STOCK"))</f>
        <v/>
      </c>
    </row>
    <row r="190" ht="15" customHeight="1" s="13">
      <c r="A190" s="16" t="inlineStr">
        <is>
          <t>7201/0683</t>
        </is>
      </c>
      <c r="B190" s="16" t="inlineStr">
        <is>
          <t>250 SRS Female terminal - 15000080</t>
        </is>
      </c>
      <c r="C190" s="16" t="inlineStr">
        <is>
          <t>NO</t>
        </is>
      </c>
      <c r="D190" s="16" t="inlineStr">
        <is>
          <t>L-5</t>
        </is>
      </c>
      <c r="E190" s="22">
        <f>SUMIFS(Movements!$D$2:$D$20000,Movements!$B$2:$B$20000,$A190,Movements!$C$2:$C$20000,"RECEIPT")+SUMIFS(Movements!$D$2:$D$20000,Movements!$B$2:$B$20000,$A190,Movements!$C$2:$C$20000,"RETURN")+SUMIFS(Movements!$D$2:$D$20000,Movements!$B$2:$B$20000,$A190,Movements!$C$2:$C$20000,"ADJUST+")-SUMIFS(Movements!$D$2:$D$20000,Movements!$B$2:$B$20000,$A190,Movements!$C$2:$C$20000,"ISSUE")-SUMIFS(Movements!$D$2:$D$20000,Movements!$B$2:$B$20000,$A190,Movements!$C$2:$C$20000,"SCRAP")-SUMIFS(Movements!$D$2:$D$20000,Movements!$B$2:$B$20000,$A190,Movements!$C$2:$C$20000,"ADJUST-")</f>
        <v/>
      </c>
      <c r="F190" s="16" t="n">
        <v>30</v>
      </c>
      <c r="G190" s="23">
        <f>IF($E190&lt;=0,"OUT OF STOCK",IF(AND($F190&gt;0,$E190&lt;=$F190*0.2),"LOW STOCK","IN STOCK"))</f>
        <v/>
      </c>
    </row>
    <row r="191" ht="15" customHeight="1" s="13">
      <c r="A191" s="16" t="inlineStr">
        <is>
          <t>7201/0002</t>
        </is>
      </c>
      <c r="B191" s="16" t="inlineStr">
        <is>
          <t>1.50-2.00mm² Socket Terminal HW090</t>
        </is>
      </c>
      <c r="C191" s="16" t="inlineStr">
        <is>
          <t>NO</t>
        </is>
      </c>
      <c r="D191" s="16" t="inlineStr">
        <is>
          <t>L-7</t>
        </is>
      </c>
      <c r="E191" s="22">
        <f>SUMIFS(Movements!$D$2:$D$20000,Movements!$B$2:$B$20000,$A191,Movements!$C$2:$C$20000,"RECEIPT")+SUMIFS(Movements!$D$2:$D$20000,Movements!$B$2:$B$20000,$A191,Movements!$C$2:$C$20000,"RETURN")+SUMIFS(Movements!$D$2:$D$20000,Movements!$B$2:$B$20000,$A191,Movements!$C$2:$C$20000,"ADJUST+")-SUMIFS(Movements!$D$2:$D$20000,Movements!$B$2:$B$20000,$A191,Movements!$C$2:$C$20000,"ISSUE")-SUMIFS(Movements!$D$2:$D$20000,Movements!$B$2:$B$20000,$A191,Movements!$C$2:$C$20000,"SCRAP")-SUMIFS(Movements!$D$2:$D$20000,Movements!$B$2:$B$20000,$A191,Movements!$C$2:$C$20000,"ADJUST-")</f>
        <v/>
      </c>
      <c r="F191" s="16" t="n">
        <v>150</v>
      </c>
      <c r="G191" s="23">
        <f>IF($E191&lt;=0,"OUT OF STOCK",IF(AND($F191&gt;0,$E191&lt;=$F191*0.2),"LOW STOCK","IN STOCK"))</f>
        <v/>
      </c>
    </row>
    <row r="192" ht="15" customHeight="1" s="13">
      <c r="A192" s="16" t="inlineStr">
        <is>
          <t>7201/0001</t>
        </is>
      </c>
      <c r="B192" s="16" t="inlineStr">
        <is>
          <t>0.30-1.25mm² Socket Terminal HW090</t>
        </is>
      </c>
      <c r="C192" s="16" t="inlineStr">
        <is>
          <t>NO</t>
        </is>
      </c>
      <c r="D192" s="16" t="inlineStr">
        <is>
          <t>L-10</t>
        </is>
      </c>
      <c r="E192" s="22">
        <f>SUMIFS(Movements!$D$2:$D$20000,Movements!$B$2:$B$20000,$A192,Movements!$C$2:$C$20000,"RECEIPT")+SUMIFS(Movements!$D$2:$D$20000,Movements!$B$2:$B$20000,$A192,Movements!$C$2:$C$20000,"RETURN")+SUMIFS(Movements!$D$2:$D$20000,Movements!$B$2:$B$20000,$A192,Movements!$C$2:$C$20000,"ADJUST+")-SUMIFS(Movements!$D$2:$D$20000,Movements!$B$2:$B$20000,$A192,Movements!$C$2:$C$20000,"ISSUE")-SUMIFS(Movements!$D$2:$D$20000,Movements!$B$2:$B$20000,$A192,Movements!$C$2:$C$20000,"SCRAP")-SUMIFS(Movements!$D$2:$D$20000,Movements!$B$2:$B$20000,$A192,Movements!$C$2:$C$20000,"ADJUST-")</f>
        <v/>
      </c>
      <c r="F192" s="16" t="n">
        <v>600</v>
      </c>
      <c r="G192" s="23">
        <f>IF($E192&lt;=0,"OUT OF STOCK",IF(AND($F192&gt;0,$E192&lt;=$F192*0.2),"LOW STOCK","IN STOCK"))</f>
        <v/>
      </c>
    </row>
    <row r="193" ht="15" customHeight="1" s="13">
      <c r="A193" s="16" t="inlineStr">
        <is>
          <t>7212/0207</t>
        </is>
      </c>
      <c r="B193" s="16" t="inlineStr">
        <is>
          <t>2 WAY MTW 2.8MM SKT HSG</t>
        </is>
      </c>
      <c r="C193" s="16" t="inlineStr">
        <is>
          <t>NO</t>
        </is>
      </c>
      <c r="D193" s="16" t="inlineStr">
        <is>
          <t>L-4</t>
        </is>
      </c>
      <c r="E193" s="22">
        <f>SUMIFS(Movements!$D$2:$D$20000,Movements!$B$2:$B$20000,$A193,Movements!$C$2:$C$20000,"RECEIPT")+SUMIFS(Movements!$D$2:$D$20000,Movements!$B$2:$B$20000,$A193,Movements!$C$2:$C$20000,"RETURN")+SUMIFS(Movements!$D$2:$D$20000,Movements!$B$2:$B$20000,$A193,Movements!$C$2:$C$20000,"ADJUST+")-SUMIFS(Movements!$D$2:$D$20000,Movements!$B$2:$B$20000,$A193,Movements!$C$2:$C$20000,"ISSUE")-SUMIFS(Movements!$D$2:$D$20000,Movements!$B$2:$B$20000,$A193,Movements!$C$2:$C$20000,"SCRAP")-SUMIFS(Movements!$D$2:$D$20000,Movements!$B$2:$B$20000,$A193,Movements!$C$2:$C$20000,"ADJUST-")</f>
        <v/>
      </c>
      <c r="F193" s="16" t="n">
        <v>5</v>
      </c>
      <c r="G193" s="23">
        <f>IF($E193&lt;=0,"OUT OF STOCK",IF(AND($F193&gt;0,$E193&lt;=$F193*0.2),"LOW STOCK","IN STOCK"))</f>
        <v/>
      </c>
    </row>
    <row r="194" ht="15" customHeight="1" s="13">
      <c r="A194" s="16" t="inlineStr">
        <is>
          <t>7216/0051</t>
        </is>
      </c>
      <c r="B194" s="16" t="inlineStr">
        <is>
          <t>6 WAY MT090 FEM HSG NATURAL -Rev.Lel.-01</t>
        </is>
      </c>
      <c r="C194" s="16" t="inlineStr">
        <is>
          <t>NO</t>
        </is>
      </c>
      <c r="D194" s="16" t="inlineStr">
        <is>
          <t>L-18</t>
        </is>
      </c>
      <c r="E194" s="22">
        <f>SUMIFS(Movements!$D$2:$D$20000,Movements!$B$2:$B$20000,$A194,Movements!$C$2:$C$20000,"RECEIPT")+SUMIFS(Movements!$D$2:$D$20000,Movements!$B$2:$B$20000,$A194,Movements!$C$2:$C$20000,"RETURN")+SUMIFS(Movements!$D$2:$D$20000,Movements!$B$2:$B$20000,$A194,Movements!$C$2:$C$20000,"ADJUST+")-SUMIFS(Movements!$D$2:$D$20000,Movements!$B$2:$B$20000,$A194,Movements!$C$2:$C$20000,"ISSUE")-SUMIFS(Movements!$D$2:$D$20000,Movements!$B$2:$B$20000,$A194,Movements!$C$2:$C$20000,"SCRAP")-SUMIFS(Movements!$D$2:$D$20000,Movements!$B$2:$B$20000,$A194,Movements!$C$2:$C$20000,"ADJUST-")</f>
        <v/>
      </c>
      <c r="F194" s="16" t="n">
        <v>20</v>
      </c>
      <c r="G194" s="23">
        <f>IF($E194&lt;=0,"OUT OF STOCK",IF(AND($F194&gt;0,$E194&lt;=$F194*0.2),"LOW STOCK","IN STOCK"))</f>
        <v/>
      </c>
    </row>
    <row r="195" ht="15" customHeight="1" s="13">
      <c r="A195" s="16" t="inlineStr">
        <is>
          <t>7213/0058</t>
        </is>
      </c>
      <c r="B195" s="16" t="inlineStr">
        <is>
          <t>3 WAY MALE SEALED HOUSING</t>
        </is>
      </c>
      <c r="C195" s="16" t="inlineStr">
        <is>
          <t>NO</t>
        </is>
      </c>
      <c r="D195" s="16" t="n"/>
      <c r="E195" s="22">
        <f>SUMIFS(Movements!$D$2:$D$20000,Movements!$B$2:$B$20000,$A195,Movements!$C$2:$C$20000,"RECEIPT")+SUMIFS(Movements!$D$2:$D$20000,Movements!$B$2:$B$20000,$A195,Movements!$C$2:$C$20000,"RETURN")+SUMIFS(Movements!$D$2:$D$20000,Movements!$B$2:$B$20000,$A195,Movements!$C$2:$C$20000,"ADJUST+")-SUMIFS(Movements!$D$2:$D$20000,Movements!$B$2:$B$20000,$A195,Movements!$C$2:$C$20000,"ISSUE")-SUMIFS(Movements!$D$2:$D$20000,Movements!$B$2:$B$20000,$A195,Movements!$C$2:$C$20000,"SCRAP")-SUMIFS(Movements!$D$2:$D$20000,Movements!$B$2:$B$20000,$A195,Movements!$C$2:$C$20000,"ADJUST-")</f>
        <v/>
      </c>
      <c r="F195" s="16" t="n">
        <v>5</v>
      </c>
      <c r="G195" s="23">
        <f>IF($E195&lt;=0,"OUT OF STOCK",IF(AND($F195&gt;0,$E195&lt;=$F195*0.2),"LOW STOCK","IN STOCK"))</f>
        <v/>
      </c>
    </row>
    <row r="196" ht="15" customHeight="1" s="13">
      <c r="A196" s="16" t="inlineStr">
        <is>
          <t>7218/0002</t>
        </is>
      </c>
      <c r="B196" s="16" t="inlineStr">
        <is>
          <t>8 WAY HW090 PIN HOUSING</t>
        </is>
      </c>
      <c r="C196" s="16" t="inlineStr">
        <is>
          <t>NO</t>
        </is>
      </c>
      <c r="D196" s="16" t="inlineStr">
        <is>
          <t>L-3</t>
        </is>
      </c>
      <c r="E196" s="22">
        <f>SUMIFS(Movements!$D$2:$D$20000,Movements!$B$2:$B$20000,$A196,Movements!$C$2:$C$20000,"RECEIPT")+SUMIFS(Movements!$D$2:$D$20000,Movements!$B$2:$B$20000,$A196,Movements!$C$2:$C$20000,"RETURN")+SUMIFS(Movements!$D$2:$D$20000,Movements!$B$2:$B$20000,$A196,Movements!$C$2:$C$20000,"ADJUST+")-SUMIFS(Movements!$D$2:$D$20000,Movements!$B$2:$B$20000,$A196,Movements!$C$2:$C$20000,"ISSUE")-SUMIFS(Movements!$D$2:$D$20000,Movements!$B$2:$B$20000,$A196,Movements!$C$2:$C$20000,"SCRAP")-SUMIFS(Movements!$D$2:$D$20000,Movements!$B$2:$B$20000,$A196,Movements!$C$2:$C$20000,"ADJUST-")</f>
        <v/>
      </c>
      <c r="F196" s="16" t="n">
        <v>5</v>
      </c>
      <c r="G196" s="23">
        <f>IF($E196&lt;=0,"OUT OF STOCK",IF(AND($F196&gt;0,$E196&lt;=$F196*0.2),"LOW STOCK","IN STOCK"))</f>
        <v/>
      </c>
    </row>
    <row r="197" ht="15" customHeight="1" s="13">
      <c r="A197" s="16" t="inlineStr">
        <is>
          <t>7250/0150</t>
        </is>
      </c>
      <c r="B197" s="16" t="inlineStr">
        <is>
          <t>CONNECTOR - 60702481</t>
        </is>
      </c>
      <c r="C197" s="16" t="inlineStr">
        <is>
          <t>NO</t>
        </is>
      </c>
      <c r="D197" s="16" t="inlineStr">
        <is>
          <t>BIN-7-01</t>
        </is>
      </c>
      <c r="E197" s="22">
        <f>SUMIFS(Movements!$D$2:$D$20000,Movements!$B$2:$B$20000,$A197,Movements!$C$2:$C$20000,"RECEIPT")+SUMIFS(Movements!$D$2:$D$20000,Movements!$B$2:$B$20000,$A197,Movements!$C$2:$C$20000,"RETURN")+SUMIFS(Movements!$D$2:$D$20000,Movements!$B$2:$B$20000,$A197,Movements!$C$2:$C$20000,"ADJUST+")-SUMIFS(Movements!$D$2:$D$20000,Movements!$B$2:$B$20000,$A197,Movements!$C$2:$C$20000,"ISSUE")-SUMIFS(Movements!$D$2:$D$20000,Movements!$B$2:$B$20000,$A197,Movements!$C$2:$C$20000,"SCRAP")-SUMIFS(Movements!$D$2:$D$20000,Movements!$B$2:$B$20000,$A197,Movements!$C$2:$C$20000,"ADJUST-")</f>
        <v/>
      </c>
      <c r="F197" s="16" t="n">
        <v>30</v>
      </c>
      <c r="G197" s="23">
        <f>IF($E197&lt;=0,"OUT OF STOCK",IF(AND($F197&gt;0,$E197&lt;=$F197*0.2),"LOW STOCK","IN STOCK"))</f>
        <v/>
      </c>
    </row>
    <row r="198" ht="15" customHeight="1" s="13">
      <c r="A198" s="16" t="inlineStr">
        <is>
          <t>7201/0687</t>
        </is>
      </c>
      <c r="B198" s="16" t="inlineStr">
        <is>
          <t>0.50 - 1.50 ALDC FEM</t>
        </is>
      </c>
      <c r="C198" s="16" t="inlineStr">
        <is>
          <t>NO</t>
        </is>
      </c>
      <c r="D198" s="16" t="n"/>
      <c r="E198" s="22">
        <f>SUMIFS(Movements!$D$2:$D$20000,Movements!$B$2:$B$20000,$A198,Movements!$C$2:$C$20000,"RECEIPT")+SUMIFS(Movements!$D$2:$D$20000,Movements!$B$2:$B$20000,$A198,Movements!$C$2:$C$20000,"RETURN")+SUMIFS(Movements!$D$2:$D$20000,Movements!$B$2:$B$20000,$A198,Movements!$C$2:$C$20000,"ADJUST+")-SUMIFS(Movements!$D$2:$D$20000,Movements!$B$2:$B$20000,$A198,Movements!$C$2:$C$20000,"ISSUE")-SUMIFS(Movements!$D$2:$D$20000,Movements!$B$2:$B$20000,$A198,Movements!$C$2:$C$20000,"SCRAP")-SUMIFS(Movements!$D$2:$D$20000,Movements!$B$2:$B$20000,$A198,Movements!$C$2:$C$20000,"ADJUST-")</f>
        <v/>
      </c>
      <c r="F198" s="16" t="n">
        <v>10</v>
      </c>
      <c r="G198" s="23">
        <f>IF($E198&lt;=0,"OUT OF STOCK",IF(AND($F198&gt;0,$E198&lt;=$F198*0.2),"LOW STOCK","IN STOCK"))</f>
        <v/>
      </c>
    </row>
    <row r="199" ht="15" customHeight="1" s="13">
      <c r="A199" s="16" t="inlineStr">
        <is>
          <t>7210/0099</t>
        </is>
      </c>
      <c r="B199" s="16" t="inlineStr">
        <is>
          <t>Wire Seal TS090 Black</t>
        </is>
      </c>
      <c r="C199" s="16" t="inlineStr">
        <is>
          <t>NO</t>
        </is>
      </c>
      <c r="D199" s="16" t="inlineStr">
        <is>
          <t>seal box</t>
        </is>
      </c>
      <c r="E199" s="22">
        <f>SUMIFS(Movements!$D$2:$D$20000,Movements!$B$2:$B$20000,$A199,Movements!$C$2:$C$20000,"RECEIPT")+SUMIFS(Movements!$D$2:$D$20000,Movements!$B$2:$B$20000,$A199,Movements!$C$2:$C$20000,"RETURN")+SUMIFS(Movements!$D$2:$D$20000,Movements!$B$2:$B$20000,$A199,Movements!$C$2:$C$20000,"ADJUST+")-SUMIFS(Movements!$D$2:$D$20000,Movements!$B$2:$B$20000,$A199,Movements!$C$2:$C$20000,"ISSUE")-SUMIFS(Movements!$D$2:$D$20000,Movements!$B$2:$B$20000,$A199,Movements!$C$2:$C$20000,"SCRAP")-SUMIFS(Movements!$D$2:$D$20000,Movements!$B$2:$B$20000,$A199,Movements!$C$2:$C$20000,"ADJUST-")</f>
        <v/>
      </c>
      <c r="F199" s="16" t="n">
        <v>150</v>
      </c>
      <c r="G199" s="23">
        <f>IF($E199&lt;=0,"OUT OF STOCK",IF(AND($F199&gt;0,$E199&lt;=$F199*0.2),"LOW STOCK","IN STOCK"))</f>
        <v/>
      </c>
    </row>
    <row r="200" ht="15" customHeight="1" s="13">
      <c r="A200" s="16" t="inlineStr">
        <is>
          <t>7210/0001</t>
        </is>
      </c>
      <c r="B200" s="16" t="inlineStr">
        <is>
          <t>CAVITYSEAL Rev.Lel.-01 brown</t>
        </is>
      </c>
      <c r="C200" s="16" t="inlineStr">
        <is>
          <t>NO</t>
        </is>
      </c>
      <c r="D200" s="16" t="inlineStr">
        <is>
          <t>seal box</t>
        </is>
      </c>
      <c r="E200" s="22">
        <f>SUMIFS(Movements!$D$2:$D$20000,Movements!$B$2:$B$20000,$A200,Movements!$C$2:$C$20000,"RECEIPT")+SUMIFS(Movements!$D$2:$D$20000,Movements!$B$2:$B$20000,$A200,Movements!$C$2:$C$20000,"RETURN")+SUMIFS(Movements!$D$2:$D$20000,Movements!$B$2:$B$20000,$A200,Movements!$C$2:$C$20000,"ADJUST+")-SUMIFS(Movements!$D$2:$D$20000,Movements!$B$2:$B$20000,$A200,Movements!$C$2:$C$20000,"ISSUE")-SUMIFS(Movements!$D$2:$D$20000,Movements!$B$2:$B$20000,$A200,Movements!$C$2:$C$20000,"SCRAP")-SUMIFS(Movements!$D$2:$D$20000,Movements!$B$2:$B$20000,$A200,Movements!$C$2:$C$20000,"ADJUST-")</f>
        <v/>
      </c>
      <c r="F200" s="16" t="n">
        <v>165</v>
      </c>
      <c r="G200" s="23">
        <f>IF($E200&lt;=0,"OUT OF STOCK",IF(AND($F200&gt;0,$E200&lt;=$F200*0.2),"LOW STOCK","IN STOCK"))</f>
        <v/>
      </c>
    </row>
    <row r="201" ht="15" customHeight="1" s="13">
      <c r="A201" s="16" t="inlineStr">
        <is>
          <t>7210/0100</t>
        </is>
      </c>
      <c r="B201" s="16" t="inlineStr">
        <is>
          <t>TS090 Black Cavity Seal</t>
        </is>
      </c>
      <c r="C201" s="16" t="inlineStr">
        <is>
          <t>NO</t>
        </is>
      </c>
      <c r="D201" s="16" t="inlineStr">
        <is>
          <t>seal box</t>
        </is>
      </c>
      <c r="E201" s="22">
        <f>SUMIFS(Movements!$D$2:$D$20000,Movements!$B$2:$B$20000,$A201,Movements!$C$2:$C$20000,"RECEIPT")+SUMIFS(Movements!$D$2:$D$20000,Movements!$B$2:$B$20000,$A201,Movements!$C$2:$C$20000,"RETURN")+SUMIFS(Movements!$D$2:$D$20000,Movements!$B$2:$B$20000,$A201,Movements!$C$2:$C$20000,"ADJUST+")-SUMIFS(Movements!$D$2:$D$20000,Movements!$B$2:$B$20000,$A201,Movements!$C$2:$C$20000,"ISSUE")-SUMIFS(Movements!$D$2:$D$20000,Movements!$B$2:$B$20000,$A201,Movements!$C$2:$C$20000,"SCRAP")-SUMIFS(Movements!$D$2:$D$20000,Movements!$B$2:$B$20000,$A201,Movements!$C$2:$C$20000,"ADJUST-")</f>
        <v/>
      </c>
      <c r="F201" s="16" t="n">
        <v>20</v>
      </c>
      <c r="G201" s="23">
        <f>IF($E201&lt;=0,"OUT OF STOCK",IF(AND($F201&gt;0,$E201&lt;=$F201*0.2),"LOW STOCK","IN STOCK"))</f>
        <v/>
      </c>
    </row>
    <row r="202" ht="15" customHeight="1" s="13">
      <c r="A202" s="16" t="inlineStr">
        <is>
          <t>7211/0025</t>
        </is>
      </c>
      <c r="B202" s="16" t="inlineStr">
        <is>
          <t>1 WAY TS312 MALE HSG</t>
        </is>
      </c>
      <c r="C202" s="16" t="inlineStr">
        <is>
          <t>NO</t>
        </is>
      </c>
      <c r="D202" s="16" t="inlineStr">
        <is>
          <t>L-4</t>
        </is>
      </c>
      <c r="E202" s="22">
        <f>SUMIFS(Movements!$D$2:$D$20000,Movements!$B$2:$B$20000,$A202,Movements!$C$2:$C$20000,"RECEIPT")+SUMIFS(Movements!$D$2:$D$20000,Movements!$B$2:$B$20000,$A202,Movements!$C$2:$C$20000,"RETURN")+SUMIFS(Movements!$D$2:$D$20000,Movements!$B$2:$B$20000,$A202,Movements!$C$2:$C$20000,"ADJUST+")-SUMIFS(Movements!$D$2:$D$20000,Movements!$B$2:$B$20000,$A202,Movements!$C$2:$C$20000,"ISSUE")-SUMIFS(Movements!$D$2:$D$20000,Movements!$B$2:$B$20000,$A202,Movements!$C$2:$C$20000,"SCRAP")-SUMIFS(Movements!$D$2:$D$20000,Movements!$B$2:$B$20000,$A202,Movements!$C$2:$C$20000,"ADJUST-")</f>
        <v/>
      </c>
      <c r="F202" s="16" t="n">
        <v>5</v>
      </c>
      <c r="G202" s="23">
        <f>IF($E202&lt;=0,"OUT OF STOCK",IF(AND($F202&gt;0,$E202&lt;=$F202*0.2),"LOW STOCK","IN STOCK"))</f>
        <v/>
      </c>
    </row>
    <row r="203" ht="15" customHeight="1" s="13">
      <c r="A203" s="16" t="inlineStr">
        <is>
          <t>7212/0001</t>
        </is>
      </c>
      <c r="B203" s="16" t="inlineStr">
        <is>
          <t>2 WAY HW090 FEM HSG (P68)'</t>
        </is>
      </c>
      <c r="C203" s="16" t="inlineStr">
        <is>
          <t>NO</t>
        </is>
      </c>
      <c r="D203" s="16" t="inlineStr">
        <is>
          <t>L-4</t>
        </is>
      </c>
      <c r="E203" s="22">
        <f>SUMIFS(Movements!$D$2:$D$20000,Movements!$B$2:$B$20000,$A203,Movements!$C$2:$C$20000,"RECEIPT")+SUMIFS(Movements!$D$2:$D$20000,Movements!$B$2:$B$20000,$A203,Movements!$C$2:$C$20000,"RETURN")+SUMIFS(Movements!$D$2:$D$20000,Movements!$B$2:$B$20000,$A203,Movements!$C$2:$C$20000,"ADJUST+")-SUMIFS(Movements!$D$2:$D$20000,Movements!$B$2:$B$20000,$A203,Movements!$C$2:$C$20000,"ISSUE")-SUMIFS(Movements!$D$2:$D$20000,Movements!$B$2:$B$20000,$A203,Movements!$C$2:$C$20000,"SCRAP")-SUMIFS(Movements!$D$2:$D$20000,Movements!$B$2:$B$20000,$A203,Movements!$C$2:$C$20000,"ADJUST-")</f>
        <v/>
      </c>
      <c r="F203" s="16" t="n">
        <v>5</v>
      </c>
      <c r="G203" s="23">
        <f>IF($E203&lt;=0,"OUT OF STOCK",IF(AND($F203&gt;0,$E203&lt;=$F203*0.2),"LOW STOCK","IN STOCK"))</f>
        <v/>
      </c>
    </row>
    <row r="204" ht="15" customHeight="1" s="13">
      <c r="A204" s="16" t="inlineStr">
        <is>
          <t>7514/0010</t>
        </is>
      </c>
      <c r="B204" s="16" t="inlineStr">
        <is>
          <t>4-PIN DIODE (BLACK)##########</t>
        </is>
      </c>
      <c r="C204" s="16" t="inlineStr">
        <is>
          <t>NO</t>
        </is>
      </c>
      <c r="D204" s="16" t="inlineStr">
        <is>
          <t>L-12</t>
        </is>
      </c>
      <c r="E204" s="22">
        <f>SUMIFS(Movements!$D$2:$D$20000,Movements!$B$2:$B$20000,$A204,Movements!$C$2:$C$20000,"RECEIPT")+SUMIFS(Movements!$D$2:$D$20000,Movements!$B$2:$B$20000,$A204,Movements!$C$2:$C$20000,"RETURN")+SUMIFS(Movements!$D$2:$D$20000,Movements!$B$2:$B$20000,$A204,Movements!$C$2:$C$20000,"ADJUST+")-SUMIFS(Movements!$D$2:$D$20000,Movements!$B$2:$B$20000,$A204,Movements!$C$2:$C$20000,"ISSUE")-SUMIFS(Movements!$D$2:$D$20000,Movements!$B$2:$B$20000,$A204,Movements!$C$2:$C$20000,"SCRAP")-SUMIFS(Movements!$D$2:$D$20000,Movements!$B$2:$B$20000,$A204,Movements!$C$2:$C$20000,"ADJUST-")</f>
        <v/>
      </c>
      <c r="F204" s="16" t="n">
        <v>10</v>
      </c>
      <c r="G204" s="23">
        <f>IF($E204&lt;=0,"OUT OF STOCK",IF(AND($F204&gt;0,$E204&lt;=$F204*0.2),"LOW STOCK","IN STOCK"))</f>
        <v/>
      </c>
    </row>
    <row r="205" ht="15" customHeight="1" s="13">
      <c r="A205" s="16" t="inlineStr">
        <is>
          <t>7219/0008</t>
        </is>
      </c>
      <c r="B205" s="16" t="inlineStr">
        <is>
          <t>14 Way HW090 Pin Retainer</t>
        </is>
      </c>
      <c r="C205" s="16" t="inlineStr">
        <is>
          <t>NO</t>
        </is>
      </c>
      <c r="D205" s="16" t="inlineStr">
        <is>
          <t>L-2</t>
        </is>
      </c>
      <c r="E205" s="22">
        <f>SUMIFS(Movements!$D$2:$D$20000,Movements!$B$2:$B$20000,$A205,Movements!$C$2:$C$20000,"RECEIPT")+SUMIFS(Movements!$D$2:$D$20000,Movements!$B$2:$B$20000,$A205,Movements!$C$2:$C$20000,"RETURN")+SUMIFS(Movements!$D$2:$D$20000,Movements!$B$2:$B$20000,$A205,Movements!$C$2:$C$20000,"ADJUST+")-SUMIFS(Movements!$D$2:$D$20000,Movements!$B$2:$B$20000,$A205,Movements!$C$2:$C$20000,"ISSUE")-SUMIFS(Movements!$D$2:$D$20000,Movements!$B$2:$B$20000,$A205,Movements!$C$2:$C$20000,"SCRAP")-SUMIFS(Movements!$D$2:$D$20000,Movements!$B$2:$B$20000,$A205,Movements!$C$2:$C$20000,"ADJUST-")</f>
        <v/>
      </c>
      <c r="F205" s="16" t="n">
        <v>12</v>
      </c>
      <c r="G205" s="23">
        <f>IF($E205&lt;=0,"OUT OF STOCK",IF(AND($F205&gt;0,$E205&lt;=$F205*0.2),"LOW STOCK","IN STOCK"))</f>
        <v/>
      </c>
    </row>
    <row r="206" ht="15" customHeight="1" s="13">
      <c r="A206" s="16" t="inlineStr">
        <is>
          <t>7219/0007</t>
        </is>
      </c>
      <c r="B206" s="16" t="inlineStr">
        <is>
          <t>14 WAY SOCKET RET</t>
        </is>
      </c>
      <c r="C206" s="16" t="inlineStr">
        <is>
          <t>NO</t>
        </is>
      </c>
      <c r="D206" s="16" t="inlineStr">
        <is>
          <t>L-4</t>
        </is>
      </c>
      <c r="E206" s="22">
        <f>SUMIFS(Movements!$D$2:$D$20000,Movements!$B$2:$B$20000,$A206,Movements!$C$2:$C$20000,"RECEIPT")+SUMIFS(Movements!$D$2:$D$20000,Movements!$B$2:$B$20000,$A206,Movements!$C$2:$C$20000,"RETURN")+SUMIFS(Movements!$D$2:$D$20000,Movements!$B$2:$B$20000,$A206,Movements!$C$2:$C$20000,"ADJUST+")-SUMIFS(Movements!$D$2:$D$20000,Movements!$B$2:$B$20000,$A206,Movements!$C$2:$C$20000,"ISSUE")-SUMIFS(Movements!$D$2:$D$20000,Movements!$B$2:$B$20000,$A206,Movements!$C$2:$C$20000,"SCRAP")-SUMIFS(Movements!$D$2:$D$20000,Movements!$B$2:$B$20000,$A206,Movements!$C$2:$C$20000,"ADJUST-")</f>
        <v/>
      </c>
      <c r="F206" s="16" t="n">
        <v>20</v>
      </c>
      <c r="G206" s="23">
        <f>IF($E206&lt;=0,"OUT OF STOCK",IF(AND($F206&gt;0,$E206&lt;=$F206*0.2),"LOW STOCK","IN STOCK"))</f>
        <v/>
      </c>
    </row>
    <row r="207" ht="15" customHeight="1" s="13">
      <c r="A207" s="16" t="inlineStr">
        <is>
          <t>7219/0003</t>
        </is>
      </c>
      <c r="B207" s="16" t="inlineStr">
        <is>
          <t>10 Way HW090 Socket Retainer</t>
        </is>
      </c>
      <c r="C207" s="16" t="inlineStr">
        <is>
          <t>NO</t>
        </is>
      </c>
      <c r="D207" s="16" t="inlineStr">
        <is>
          <t>L-1</t>
        </is>
      </c>
      <c r="E207" s="22">
        <f>SUMIFS(Movements!$D$2:$D$20000,Movements!$B$2:$B$20000,$A207,Movements!$C$2:$C$20000,"RECEIPT")+SUMIFS(Movements!$D$2:$D$20000,Movements!$B$2:$B$20000,$A207,Movements!$C$2:$C$20000,"RETURN")+SUMIFS(Movements!$D$2:$D$20000,Movements!$B$2:$B$20000,$A207,Movements!$C$2:$C$20000,"ADJUST+")-SUMIFS(Movements!$D$2:$D$20000,Movements!$B$2:$B$20000,$A207,Movements!$C$2:$C$20000,"ISSUE")-SUMIFS(Movements!$D$2:$D$20000,Movements!$B$2:$B$20000,$A207,Movements!$C$2:$C$20000,"SCRAP")-SUMIFS(Movements!$D$2:$D$20000,Movements!$B$2:$B$20000,$A207,Movements!$C$2:$C$20000,"ADJUST-")</f>
        <v/>
      </c>
      <c r="F207" s="16" t="n">
        <v>12</v>
      </c>
      <c r="G207" s="23">
        <f>IF($E207&lt;=0,"OUT OF STOCK",IF(AND($F207&gt;0,$E207&lt;=$F207*0.2),"LOW STOCK","IN STOCK"))</f>
        <v/>
      </c>
    </row>
    <row r="208" ht="15" customHeight="1" s="13">
      <c r="A208" s="16" t="inlineStr">
        <is>
          <t>7218/0003</t>
        </is>
      </c>
      <c r="B208" s="16" t="inlineStr">
        <is>
          <t>8 Way HW090 Socket Retainer</t>
        </is>
      </c>
      <c r="C208" s="16" t="inlineStr">
        <is>
          <t>NO</t>
        </is>
      </c>
      <c r="D208" s="16" t="inlineStr">
        <is>
          <t>L-1</t>
        </is>
      </c>
      <c r="E208" s="22">
        <f>SUMIFS(Movements!$D$2:$D$20000,Movements!$B$2:$B$20000,$A208,Movements!$C$2:$C$20000,"RECEIPT")+SUMIFS(Movements!$D$2:$D$20000,Movements!$B$2:$B$20000,$A208,Movements!$C$2:$C$20000,"RETURN")+SUMIFS(Movements!$D$2:$D$20000,Movements!$B$2:$B$20000,$A208,Movements!$C$2:$C$20000,"ADJUST+")-SUMIFS(Movements!$D$2:$D$20000,Movements!$B$2:$B$20000,$A208,Movements!$C$2:$C$20000,"ISSUE")-SUMIFS(Movements!$D$2:$D$20000,Movements!$B$2:$B$20000,$A208,Movements!$C$2:$C$20000,"SCRAP")-SUMIFS(Movements!$D$2:$D$20000,Movements!$B$2:$B$20000,$A208,Movements!$C$2:$C$20000,"ADJUST-")</f>
        <v/>
      </c>
      <c r="F208" s="16" t="n">
        <v>15</v>
      </c>
      <c r="G208" s="23">
        <f>IF($E208&lt;=0,"OUT OF STOCK",IF(AND($F208&gt;0,$E208&lt;=$F208*0.2),"LOW STOCK","IN STOCK"))</f>
        <v/>
      </c>
    </row>
    <row r="209" ht="15" customHeight="1" s="13">
      <c r="A209" s="16" t="inlineStr">
        <is>
          <t>7210/0096</t>
        </is>
      </c>
      <c r="B209" s="16" t="inlineStr">
        <is>
          <t>WIRE SEAL DL305 4.4-5.8 B</t>
        </is>
      </c>
      <c r="C209" s="16" t="inlineStr">
        <is>
          <t>NO</t>
        </is>
      </c>
      <c r="D209" s="16" t="inlineStr">
        <is>
          <t>seal box</t>
        </is>
      </c>
      <c r="E209" s="22">
        <f>SUMIFS(Movements!$D$2:$D$20000,Movements!$B$2:$B$20000,$A209,Movements!$C$2:$C$20000,"RECEIPT")+SUMIFS(Movements!$D$2:$D$20000,Movements!$B$2:$B$20000,$A209,Movements!$C$2:$C$20000,"RETURN")+SUMIFS(Movements!$D$2:$D$20000,Movements!$B$2:$B$20000,$A209,Movements!$C$2:$C$20000,"ADJUST+")-SUMIFS(Movements!$D$2:$D$20000,Movements!$B$2:$B$20000,$A209,Movements!$C$2:$C$20000,"ISSUE")-SUMIFS(Movements!$D$2:$D$20000,Movements!$B$2:$B$20000,$A209,Movements!$C$2:$C$20000,"SCRAP")-SUMIFS(Movements!$D$2:$D$20000,Movements!$B$2:$B$20000,$A209,Movements!$C$2:$C$20000,"ADJUST-")</f>
        <v/>
      </c>
      <c r="F209" s="16" t="n">
        <v>30</v>
      </c>
      <c r="G209" s="23">
        <f>IF($E209&lt;=0,"OUT OF STOCK",IF(AND($F209&gt;0,$E209&lt;=$F209*0.2),"LOW STOCK","IN STOCK"))</f>
        <v/>
      </c>
    </row>
    <row r="210" ht="15" customHeight="1" s="13">
      <c r="A210" s="16" t="inlineStr">
        <is>
          <t>7210/0002</t>
        </is>
      </c>
      <c r="B210" s="16" t="inlineStr">
        <is>
          <t>Seal wire 1.4-2.2mm OD blue</t>
        </is>
      </c>
      <c r="C210" s="16" t="inlineStr">
        <is>
          <t>NO</t>
        </is>
      </c>
      <c r="D210" s="16" t="inlineStr">
        <is>
          <t>seal box</t>
        </is>
      </c>
      <c r="E210" s="22">
        <f>SUMIFS(Movements!$D$2:$D$20000,Movements!$B$2:$B$20000,$A210,Movements!$C$2:$C$20000,"RECEIPT")+SUMIFS(Movements!$D$2:$D$20000,Movements!$B$2:$B$20000,$A210,Movements!$C$2:$C$20000,"RETURN")+SUMIFS(Movements!$D$2:$D$20000,Movements!$B$2:$B$20000,$A210,Movements!$C$2:$C$20000,"ADJUST+")-SUMIFS(Movements!$D$2:$D$20000,Movements!$B$2:$B$20000,$A210,Movements!$C$2:$C$20000,"ISSUE")-SUMIFS(Movements!$D$2:$D$20000,Movements!$B$2:$B$20000,$A210,Movements!$C$2:$C$20000,"SCRAP")-SUMIFS(Movements!$D$2:$D$20000,Movements!$B$2:$B$20000,$A210,Movements!$C$2:$C$20000,"ADJUST-")</f>
        <v/>
      </c>
      <c r="F210" s="16" t="n">
        <v>85</v>
      </c>
      <c r="G210" s="23">
        <f>IF($E210&lt;=0,"OUT OF STOCK",IF(AND($F210&gt;0,$E210&lt;=$F210*0.2),"LOW STOCK","IN STOCK"))</f>
        <v/>
      </c>
    </row>
    <row r="211" ht="15" customHeight="1" s="13">
      <c r="A211" s="16" t="inlineStr">
        <is>
          <t>7201/0708</t>
        </is>
      </c>
      <c r="B211" s="16" t="inlineStr">
        <is>
          <t>TERMINAL FOR 5.0 - 8.0 SQMM FEMALE</t>
        </is>
      </c>
      <c r="C211" s="16" t="inlineStr">
        <is>
          <t>NO</t>
        </is>
      </c>
      <c r="D211" s="16" t="n"/>
      <c r="E211" s="22">
        <f>SUMIFS(Movements!$D$2:$D$20000,Movements!$B$2:$B$20000,$A211,Movements!$C$2:$C$20000,"RECEIPT")+SUMIFS(Movements!$D$2:$D$20000,Movements!$B$2:$B$20000,$A211,Movements!$C$2:$C$20000,"RETURN")+SUMIFS(Movements!$D$2:$D$20000,Movements!$B$2:$B$20000,$A211,Movements!$C$2:$C$20000,"ADJUST+")-SUMIFS(Movements!$D$2:$D$20000,Movements!$B$2:$B$20000,$A211,Movements!$C$2:$C$20000,"ISSUE")-SUMIFS(Movements!$D$2:$D$20000,Movements!$B$2:$B$20000,$A211,Movements!$C$2:$C$20000,"SCRAP")-SUMIFS(Movements!$D$2:$D$20000,Movements!$B$2:$B$20000,$A211,Movements!$C$2:$C$20000,"ADJUST-")</f>
        <v/>
      </c>
      <c r="F211" s="16" t="n">
        <v>5</v>
      </c>
      <c r="G211" s="23">
        <f>IF($E211&lt;=0,"OUT OF STOCK",IF(AND($F211&gt;0,$E211&lt;=$F211*0.2),"LOW STOCK","IN STOCK"))</f>
        <v/>
      </c>
    </row>
    <row r="212" ht="15" customHeight="1" s="13">
      <c r="A212" s="16" t="inlineStr">
        <is>
          <t>7201/0688</t>
        </is>
      </c>
      <c r="B212" s="16" t="inlineStr">
        <is>
          <t>0.502.00 MM2 250 TYP SKT TERM TIN</t>
        </is>
      </c>
      <c r="C212" s="16" t="inlineStr">
        <is>
          <t>NO</t>
        </is>
      </c>
      <c r="D212" s="16" t="inlineStr">
        <is>
          <t>L-5</t>
        </is>
      </c>
      <c r="E212" s="22">
        <f>SUMIFS(Movements!$D$2:$D$20000,Movements!$B$2:$B$20000,$A212,Movements!$C$2:$C$20000,"RECEIPT")+SUMIFS(Movements!$D$2:$D$20000,Movements!$B$2:$B$20000,$A212,Movements!$C$2:$C$20000,"RETURN")+SUMIFS(Movements!$D$2:$D$20000,Movements!$B$2:$B$20000,$A212,Movements!$C$2:$C$20000,"ADJUST+")-SUMIFS(Movements!$D$2:$D$20000,Movements!$B$2:$B$20000,$A212,Movements!$C$2:$C$20000,"ISSUE")-SUMIFS(Movements!$D$2:$D$20000,Movements!$B$2:$B$20000,$A212,Movements!$C$2:$C$20000,"SCRAP")-SUMIFS(Movements!$D$2:$D$20000,Movements!$B$2:$B$20000,$A212,Movements!$C$2:$C$20000,"ADJUST-")</f>
        <v/>
      </c>
      <c r="F212" s="16" t="n">
        <v>70</v>
      </c>
      <c r="G212" s="23">
        <f>IF($E212&lt;=0,"OUT OF STOCK",IF(AND($F212&gt;0,$E212&lt;=$F212*0.2),"LOW STOCK","IN STOCK"))</f>
        <v/>
      </c>
    </row>
    <row r="213" ht="15" customHeight="1" s="13">
      <c r="A213" s="16" t="inlineStr">
        <is>
          <t>7201/0623</t>
        </is>
      </c>
      <c r="B213" s="16" t="inlineStr">
        <is>
          <t>.08.0 Fem Term DL305</t>
        </is>
      </c>
      <c r="C213" s="16" t="inlineStr">
        <is>
          <t>NO</t>
        </is>
      </c>
      <c r="D213" s="16" t="inlineStr">
        <is>
          <t>L-10</t>
        </is>
      </c>
      <c r="E213" s="22">
        <f>SUMIFS(Movements!$D$2:$D$20000,Movements!$B$2:$B$20000,$A213,Movements!$C$2:$C$20000,"RECEIPT")+SUMIFS(Movements!$D$2:$D$20000,Movements!$B$2:$B$20000,$A213,Movements!$C$2:$C$20000,"RETURN")+SUMIFS(Movements!$D$2:$D$20000,Movements!$B$2:$B$20000,$A213,Movements!$C$2:$C$20000,"ADJUST+")-SUMIFS(Movements!$D$2:$D$20000,Movements!$B$2:$B$20000,$A213,Movements!$C$2:$C$20000,"ISSUE")-SUMIFS(Movements!$D$2:$D$20000,Movements!$B$2:$B$20000,$A213,Movements!$C$2:$C$20000,"SCRAP")-SUMIFS(Movements!$D$2:$D$20000,Movements!$B$2:$B$20000,$A213,Movements!$C$2:$C$20000,"ADJUST-")</f>
        <v/>
      </c>
      <c r="F213" s="16" t="n">
        <v>10</v>
      </c>
      <c r="G213" s="23">
        <f>IF($E213&lt;=0,"OUT OF STOCK",IF(AND($F213&gt;0,$E213&lt;=$F213*0.2),"LOW STOCK","IN STOCK"))</f>
        <v/>
      </c>
    </row>
    <row r="214" ht="15" customHeight="1" s="13">
      <c r="A214" s="16" t="inlineStr">
        <is>
          <t>7201/0180</t>
        </is>
      </c>
      <c r="B214" s="16" t="inlineStr">
        <is>
          <t>TS SOCKET TERMINAL MSSL</t>
        </is>
      </c>
      <c r="C214" s="16" t="inlineStr">
        <is>
          <t>NO</t>
        </is>
      </c>
      <c r="D214" s="16" t="inlineStr">
        <is>
          <t>L-10</t>
        </is>
      </c>
      <c r="E214" s="22">
        <f>SUMIFS(Movements!$D$2:$D$20000,Movements!$B$2:$B$20000,$A214,Movements!$C$2:$C$20000,"RECEIPT")+SUMIFS(Movements!$D$2:$D$20000,Movements!$B$2:$B$20000,$A214,Movements!$C$2:$C$20000,"RETURN")+SUMIFS(Movements!$D$2:$D$20000,Movements!$B$2:$B$20000,$A214,Movements!$C$2:$C$20000,"ADJUST+")-SUMIFS(Movements!$D$2:$D$20000,Movements!$B$2:$B$20000,$A214,Movements!$C$2:$C$20000,"ISSUE")-SUMIFS(Movements!$D$2:$D$20000,Movements!$B$2:$B$20000,$A214,Movements!$C$2:$C$20000,"SCRAP")-SUMIFS(Movements!$D$2:$D$20000,Movements!$B$2:$B$20000,$A214,Movements!$C$2:$C$20000,"ADJUST-")</f>
        <v/>
      </c>
      <c r="F214" s="16" t="n">
        <v>10</v>
      </c>
      <c r="G214" s="23">
        <f>IF($E214&lt;=0,"OUT OF STOCK",IF(AND($F214&gt;0,$E214&lt;=$F214*0.2),"LOW STOCK","IN STOCK"))</f>
        <v/>
      </c>
    </row>
    <row r="215" ht="15" customHeight="1" s="13">
      <c r="A215" s="16" t="inlineStr">
        <is>
          <t>332/E9931</t>
        </is>
      </c>
      <c r="B215" s="16" t="inlineStr">
        <is>
          <t>5.008.00mm² DL305 Pin Term Tin</t>
        </is>
      </c>
      <c r="C215" s="16" t="inlineStr">
        <is>
          <t>NO</t>
        </is>
      </c>
      <c r="D215" s="16" t="inlineStr">
        <is>
          <t>L-8</t>
        </is>
      </c>
      <c r="E215" s="22">
        <f>SUMIFS(Movements!$D$2:$D$20000,Movements!$B$2:$B$20000,$A215,Movements!$C$2:$C$20000,"RECEIPT")+SUMIFS(Movements!$D$2:$D$20000,Movements!$B$2:$B$20000,$A215,Movements!$C$2:$C$20000,"RETURN")+SUMIFS(Movements!$D$2:$D$20000,Movements!$B$2:$B$20000,$A215,Movements!$C$2:$C$20000,"ADJUST+")-SUMIFS(Movements!$D$2:$D$20000,Movements!$B$2:$B$20000,$A215,Movements!$C$2:$C$20000,"ISSUE")-SUMIFS(Movements!$D$2:$D$20000,Movements!$B$2:$B$20000,$A215,Movements!$C$2:$C$20000,"SCRAP")-SUMIFS(Movements!$D$2:$D$20000,Movements!$B$2:$B$20000,$A215,Movements!$C$2:$C$20000,"ADJUST-")</f>
        <v/>
      </c>
      <c r="F215" s="16" t="n">
        <v>20</v>
      </c>
      <c r="G215" s="23">
        <f>IF($E215&lt;=0,"OUT OF STOCK",IF(AND($F215&gt;0,$E215&lt;=$F215*0.2),"LOW STOCK","IN STOCK"))</f>
        <v/>
      </c>
    </row>
    <row r="216" ht="15" customHeight="1" s="13">
      <c r="A216" s="16" t="inlineStr">
        <is>
          <t>7212/0156</t>
        </is>
      </c>
      <c r="B216" s="16" t="inlineStr">
        <is>
          <t>2 WAY MT090 PIN HSG NATUR</t>
        </is>
      </c>
      <c r="C216" s="16" t="inlineStr">
        <is>
          <t>NO</t>
        </is>
      </c>
      <c r="D216" s="16" t="n"/>
      <c r="E216" s="22">
        <f>SUMIFS(Movements!$D$2:$D$20000,Movements!$B$2:$B$20000,$A216,Movements!$C$2:$C$20000,"RECEIPT")+SUMIFS(Movements!$D$2:$D$20000,Movements!$B$2:$B$20000,$A216,Movements!$C$2:$C$20000,"RETURN")+SUMIFS(Movements!$D$2:$D$20000,Movements!$B$2:$B$20000,$A216,Movements!$C$2:$C$20000,"ADJUST+")-SUMIFS(Movements!$D$2:$D$20000,Movements!$B$2:$B$20000,$A216,Movements!$C$2:$C$20000,"ISSUE")-SUMIFS(Movements!$D$2:$D$20000,Movements!$B$2:$B$20000,$A216,Movements!$C$2:$C$20000,"SCRAP")-SUMIFS(Movements!$D$2:$D$20000,Movements!$B$2:$B$20000,$A216,Movements!$C$2:$C$20000,"ADJUST-")</f>
        <v/>
      </c>
      <c r="F216" s="16" t="n">
        <v>20</v>
      </c>
      <c r="G216" s="23">
        <f>IF($E216&lt;=0,"OUT OF STOCK",IF(AND($F216&gt;0,$E216&lt;=$F216*0.2),"LOW STOCK","IN STOCK"))</f>
        <v/>
      </c>
    </row>
    <row r="217" ht="15" customHeight="1" s="13">
      <c r="A217" s="16" t="inlineStr">
        <is>
          <t>7212/0128</t>
        </is>
      </c>
      <c r="B217" s="16" t="inlineStr">
        <is>
          <t>2 WAY MT090 FEM HSG NATURAL</t>
        </is>
      </c>
      <c r="C217" s="16" t="inlineStr">
        <is>
          <t>NO</t>
        </is>
      </c>
      <c r="D217" s="16" t="inlineStr">
        <is>
          <t>L-5</t>
        </is>
      </c>
      <c r="E217" s="22">
        <f>SUMIFS(Movements!$D$2:$D$20000,Movements!$B$2:$B$20000,$A217,Movements!$C$2:$C$20000,"RECEIPT")+SUMIFS(Movements!$D$2:$D$20000,Movements!$B$2:$B$20000,$A217,Movements!$C$2:$C$20000,"RETURN")+SUMIFS(Movements!$D$2:$D$20000,Movements!$B$2:$B$20000,$A217,Movements!$C$2:$C$20000,"ADJUST+")-SUMIFS(Movements!$D$2:$D$20000,Movements!$B$2:$B$20000,$A217,Movements!$C$2:$C$20000,"ISSUE")-SUMIFS(Movements!$D$2:$D$20000,Movements!$B$2:$B$20000,$A217,Movements!$C$2:$C$20000,"SCRAP")-SUMIFS(Movements!$D$2:$D$20000,Movements!$B$2:$B$20000,$A217,Movements!$C$2:$C$20000,"ADJUST-")</f>
        <v/>
      </c>
      <c r="F217" s="16" t="n">
        <v>25</v>
      </c>
      <c r="G217" s="23">
        <f>IF($E217&lt;=0,"OUT OF STOCK",IF(AND($F217&gt;0,$E217&lt;=$F217*0.2),"LOW STOCK","IN STOCK"))</f>
        <v/>
      </c>
    </row>
    <row r="218" ht="15" customHeight="1" s="13">
      <c r="A218" s="16" t="inlineStr">
        <is>
          <t>7219/0001</t>
        </is>
      </c>
      <c r="B218" s="16" t="inlineStr">
        <is>
          <t>10 Way HW090 Socket Housing</t>
        </is>
      </c>
      <c r="C218" s="16" t="inlineStr">
        <is>
          <t>NO</t>
        </is>
      </c>
      <c r="D218" s="16" t="inlineStr">
        <is>
          <t>L-2</t>
        </is>
      </c>
      <c r="E218" s="22">
        <f>SUMIFS(Movements!$D$2:$D$20000,Movements!$B$2:$B$20000,$A218,Movements!$C$2:$C$20000,"RECEIPT")+SUMIFS(Movements!$D$2:$D$20000,Movements!$B$2:$B$20000,$A218,Movements!$C$2:$C$20000,"RETURN")+SUMIFS(Movements!$D$2:$D$20000,Movements!$B$2:$B$20000,$A218,Movements!$C$2:$C$20000,"ADJUST+")-SUMIFS(Movements!$D$2:$D$20000,Movements!$B$2:$B$20000,$A218,Movements!$C$2:$C$20000,"ISSUE")-SUMIFS(Movements!$D$2:$D$20000,Movements!$B$2:$B$20000,$A218,Movements!$C$2:$C$20000,"SCRAP")-SUMIFS(Movements!$D$2:$D$20000,Movements!$B$2:$B$20000,$A218,Movements!$C$2:$C$20000,"ADJUST-")</f>
        <v/>
      </c>
      <c r="F218" s="16" t="n">
        <v>12</v>
      </c>
      <c r="G218" s="23">
        <f>IF($E218&lt;=0,"OUT OF STOCK",IF(AND($F218&gt;0,$E218&lt;=$F218*0.2),"LOW STOCK","IN STOCK"))</f>
        <v/>
      </c>
    </row>
    <row r="219" ht="15" customHeight="1" s="13">
      <c r="A219" s="16" t="inlineStr">
        <is>
          <t>7212/0141</t>
        </is>
      </c>
      <c r="B219" s="16" t="inlineStr">
        <is>
          <t>2WAY SEALED FEM HSG WP 2PB</t>
        </is>
      </c>
      <c r="C219" s="16" t="inlineStr">
        <is>
          <t>NO</t>
        </is>
      </c>
      <c r="D219" s="16" t="inlineStr">
        <is>
          <t>L-2</t>
        </is>
      </c>
      <c r="E219" s="22">
        <f>SUMIFS(Movements!$D$2:$D$20000,Movements!$B$2:$B$20000,$A219,Movements!$C$2:$C$20000,"RECEIPT")+SUMIFS(Movements!$D$2:$D$20000,Movements!$B$2:$B$20000,$A219,Movements!$C$2:$C$20000,"RETURN")+SUMIFS(Movements!$D$2:$D$20000,Movements!$B$2:$B$20000,$A219,Movements!$C$2:$C$20000,"ADJUST+")-SUMIFS(Movements!$D$2:$D$20000,Movements!$B$2:$B$20000,$A219,Movements!$C$2:$C$20000,"ISSUE")-SUMIFS(Movements!$D$2:$D$20000,Movements!$B$2:$B$20000,$A219,Movements!$C$2:$C$20000,"SCRAP")-SUMIFS(Movements!$D$2:$D$20000,Movements!$B$2:$B$20000,$A219,Movements!$C$2:$C$20000,"ADJUST-")</f>
        <v/>
      </c>
      <c r="F219" s="16" t="n">
        <v>10</v>
      </c>
      <c r="G219" s="23">
        <f>IF($E219&lt;=0,"OUT OF STOCK",IF(AND($F219&gt;0,$E219&lt;=$F219*0.2),"LOW STOCK","IN STOCK"))</f>
        <v/>
      </c>
    </row>
    <row r="220" ht="15" customHeight="1" s="13">
      <c r="A220" s="16" t="inlineStr">
        <is>
          <t>7214/0068</t>
        </is>
      </c>
      <c r="B220" s="16" t="inlineStr">
        <is>
          <t>4 WAY ET250 MALE HSG UNSEALED</t>
        </is>
      </c>
      <c r="C220" s="16" t="inlineStr">
        <is>
          <t>NO</t>
        </is>
      </c>
      <c r="D220" s="16" t="inlineStr">
        <is>
          <t>BIN-7-01</t>
        </is>
      </c>
      <c r="E220" s="22">
        <f>SUMIFS(Movements!$D$2:$D$20000,Movements!$B$2:$B$20000,$A220,Movements!$C$2:$C$20000,"RECEIPT")+SUMIFS(Movements!$D$2:$D$20000,Movements!$B$2:$B$20000,$A220,Movements!$C$2:$C$20000,"RETURN")+SUMIFS(Movements!$D$2:$D$20000,Movements!$B$2:$B$20000,$A220,Movements!$C$2:$C$20000,"ADJUST+")-SUMIFS(Movements!$D$2:$D$20000,Movements!$B$2:$B$20000,$A220,Movements!$C$2:$C$20000,"ISSUE")-SUMIFS(Movements!$D$2:$D$20000,Movements!$B$2:$B$20000,$A220,Movements!$C$2:$C$20000,"SCRAP")-SUMIFS(Movements!$D$2:$D$20000,Movements!$B$2:$B$20000,$A220,Movements!$C$2:$C$20000,"ADJUST-")</f>
        <v/>
      </c>
      <c r="F220" s="16" t="n">
        <v>15</v>
      </c>
      <c r="G220" s="23">
        <f>IF($E220&lt;=0,"OUT OF STOCK",IF(AND($F220&gt;0,$E220&lt;=$F220*0.2),"LOW STOCK","IN STOCK"))</f>
        <v/>
      </c>
    </row>
    <row r="221" ht="15" customHeight="1" s="13">
      <c r="A221" s="16" t="inlineStr">
        <is>
          <t>7219/0006</t>
        </is>
      </c>
      <c r="B221" s="16" t="inlineStr">
        <is>
          <t>14 Way HW090 Pin Housing</t>
        </is>
      </c>
      <c r="C221" s="16" t="inlineStr">
        <is>
          <t>NO</t>
        </is>
      </c>
      <c r="D221" s="16" t="inlineStr">
        <is>
          <t>L-2</t>
        </is>
      </c>
      <c r="E221" s="22">
        <f>SUMIFS(Movements!$D$2:$D$20000,Movements!$B$2:$B$20000,$A221,Movements!$C$2:$C$20000,"RECEIPT")+SUMIFS(Movements!$D$2:$D$20000,Movements!$B$2:$B$20000,$A221,Movements!$C$2:$C$20000,"RETURN")+SUMIFS(Movements!$D$2:$D$20000,Movements!$B$2:$B$20000,$A221,Movements!$C$2:$C$20000,"ADJUST+")-SUMIFS(Movements!$D$2:$D$20000,Movements!$B$2:$B$20000,$A221,Movements!$C$2:$C$20000,"ISSUE")-SUMIFS(Movements!$D$2:$D$20000,Movements!$B$2:$B$20000,$A221,Movements!$C$2:$C$20000,"SCRAP")-SUMIFS(Movements!$D$2:$D$20000,Movements!$B$2:$B$20000,$A221,Movements!$C$2:$C$20000,"ADJUST-")</f>
        <v/>
      </c>
      <c r="F221" s="16" t="n">
        <v>12</v>
      </c>
      <c r="G221" s="23">
        <f>IF($E221&lt;=0,"OUT OF STOCK",IF(AND($F221&gt;0,$E221&lt;=$F221*0.2),"LOW STOCK","IN STOCK"))</f>
        <v/>
      </c>
    </row>
    <row r="222" ht="15" customHeight="1" s="13">
      <c r="A222" s="16" t="inlineStr">
        <is>
          <t>7213/0066</t>
        </is>
      </c>
      <c r="B222" s="16" t="inlineStr">
        <is>
          <t>3 WAY FEM SEALED GREY HSG 11045WYA03FGRE</t>
        </is>
      </c>
      <c r="C222" s="16" t="inlineStr">
        <is>
          <t>NO</t>
        </is>
      </c>
      <c r="D222" s="16" t="inlineStr">
        <is>
          <t>L-3</t>
        </is>
      </c>
      <c r="E222" s="22">
        <f>SUMIFS(Movements!$D$2:$D$20000,Movements!$B$2:$B$20000,$A222,Movements!$C$2:$C$20000,"RECEIPT")+SUMIFS(Movements!$D$2:$D$20000,Movements!$B$2:$B$20000,$A222,Movements!$C$2:$C$20000,"RETURN")+SUMIFS(Movements!$D$2:$D$20000,Movements!$B$2:$B$20000,$A222,Movements!$C$2:$C$20000,"ADJUST+")-SUMIFS(Movements!$D$2:$D$20000,Movements!$B$2:$B$20000,$A222,Movements!$C$2:$C$20000,"ISSUE")-SUMIFS(Movements!$D$2:$D$20000,Movements!$B$2:$B$20000,$A222,Movements!$C$2:$C$20000,"SCRAP")-SUMIFS(Movements!$D$2:$D$20000,Movements!$B$2:$B$20000,$A222,Movements!$C$2:$C$20000,"ADJUST-")</f>
        <v/>
      </c>
      <c r="F222" s="16" t="n">
        <v>5</v>
      </c>
      <c r="G222" s="23">
        <f>IF($E222&lt;=0,"OUT OF STOCK",IF(AND($F222&gt;0,$E222&lt;=$F222*0.2),"LOW STOCK","IN STOCK"))</f>
        <v/>
      </c>
    </row>
    <row r="223" ht="15" customHeight="1" s="13">
      <c r="A223" s="16" t="inlineStr">
        <is>
          <t>7218/0001</t>
        </is>
      </c>
      <c r="B223" s="16" t="inlineStr">
        <is>
          <t>8 Way HW090 Socket Housing</t>
        </is>
      </c>
      <c r="C223" s="16" t="inlineStr">
        <is>
          <t>NO</t>
        </is>
      </c>
      <c r="D223" s="16" t="inlineStr">
        <is>
          <t>L-2</t>
        </is>
      </c>
      <c r="E223" s="22">
        <f>SUMIFS(Movements!$D$2:$D$20000,Movements!$B$2:$B$20000,$A223,Movements!$C$2:$C$20000,"RECEIPT")+SUMIFS(Movements!$D$2:$D$20000,Movements!$B$2:$B$20000,$A223,Movements!$C$2:$C$20000,"RETURN")+SUMIFS(Movements!$D$2:$D$20000,Movements!$B$2:$B$20000,$A223,Movements!$C$2:$C$20000,"ADJUST+")-SUMIFS(Movements!$D$2:$D$20000,Movements!$B$2:$B$20000,$A223,Movements!$C$2:$C$20000,"ISSUE")-SUMIFS(Movements!$D$2:$D$20000,Movements!$B$2:$B$20000,$A223,Movements!$C$2:$C$20000,"SCRAP")-SUMIFS(Movements!$D$2:$D$20000,Movements!$B$2:$B$20000,$A223,Movements!$C$2:$C$20000,"ADJUST-")</f>
        <v/>
      </c>
      <c r="F223" s="16" t="n">
        <v>12</v>
      </c>
      <c r="G223" s="23">
        <f>IF($E223&lt;=0,"OUT OF STOCK",IF(AND($F223&gt;0,$E223&lt;=$F223*0.2),"LOW STOCK","IN STOCK"))</f>
        <v/>
      </c>
    </row>
    <row r="224" ht="15" customHeight="1" s="13">
      <c r="A224" s="16" t="inlineStr">
        <is>
          <t>7212/0060</t>
        </is>
      </c>
      <c r="B224" s="16" t="inlineStr">
        <is>
          <t>Housing Female DL 305Â#Â# 2 WAY -Rev.Lel.-01</t>
        </is>
      </c>
      <c r="C224" s="16" t="inlineStr">
        <is>
          <t>F</t>
        </is>
      </c>
      <c r="D224" s="16" t="n"/>
      <c r="E224" s="22">
        <f>SUMIFS(Movements!$D$2:$D$20000,Movements!$B$2:$B$20000,$A224,Movements!$C$2:$C$20000,"RECEIPT")+SUMIFS(Movements!$D$2:$D$20000,Movements!$B$2:$B$20000,$A224,Movements!$C$2:$C$20000,"RETURN")+SUMIFS(Movements!$D$2:$D$20000,Movements!$B$2:$B$20000,$A224,Movements!$C$2:$C$20000,"ADJUST+")-SUMIFS(Movements!$D$2:$D$20000,Movements!$B$2:$B$20000,$A224,Movements!$C$2:$C$20000,"ISSUE")-SUMIFS(Movements!$D$2:$D$20000,Movements!$B$2:$B$20000,$A224,Movements!$C$2:$C$20000,"SCRAP")-SUMIFS(Movements!$D$2:$D$20000,Movements!$B$2:$B$20000,$A224,Movements!$C$2:$C$20000,"ADJUST-")</f>
        <v/>
      </c>
      <c r="F224" s="16" t="n">
        <v>5</v>
      </c>
      <c r="G224" s="23">
        <f>IF($E224&lt;=0,"OUT OF STOCK",IF(AND($F224&gt;0,$E224&lt;=$F224*0.2),"LOW STOCK","IN STOCK"))</f>
        <v/>
      </c>
    </row>
    <row r="225" ht="15" customHeight="1" s="13">
      <c r="A225" s="16" t="inlineStr">
        <is>
          <t>7201/0666</t>
        </is>
      </c>
      <c r="B225" s="16" t="n"/>
      <c r="C225" s="16" t="inlineStr">
        <is>
          <t>NO</t>
        </is>
      </c>
      <c r="D225" s="16" t="n"/>
      <c r="E225" s="22">
        <f>SUMIFS(Movements!$D$2:$D$20000,Movements!$B$2:$B$20000,$A225,Movements!$C$2:$C$20000,"RECEIPT")+SUMIFS(Movements!$D$2:$D$20000,Movements!$B$2:$B$20000,$A225,Movements!$C$2:$C$20000,"RETURN")+SUMIFS(Movements!$D$2:$D$20000,Movements!$B$2:$B$20000,$A225,Movements!$C$2:$C$20000,"ADJUST+")-SUMIFS(Movements!$D$2:$D$20000,Movements!$B$2:$B$20000,$A225,Movements!$C$2:$C$20000,"ISSUE")-SUMIFS(Movements!$D$2:$D$20000,Movements!$B$2:$B$20000,$A225,Movements!$C$2:$C$20000,"SCRAP")-SUMIFS(Movements!$D$2:$D$20000,Movements!$B$2:$B$20000,$A225,Movements!$C$2:$C$20000,"ADJUST-")</f>
        <v/>
      </c>
      <c r="F225" s="16" t="n">
        <v>0</v>
      </c>
      <c r="G225" s="23">
        <f>IF($E225&lt;=0,"OUT OF STOCK",IF(AND($F225&gt;0,$E225&lt;=$F225*0.2),"LOW STOCK","IN STOCK"))</f>
        <v/>
      </c>
    </row>
    <row r="226" ht="15" customHeight="1" s="13">
      <c r="A226" s="16" t="inlineStr">
        <is>
          <t>7201/0764</t>
        </is>
      </c>
      <c r="B226" s="16" t="n"/>
      <c r="C226" s="16" t="inlineStr">
        <is>
          <t>NO</t>
        </is>
      </c>
      <c r="D226" s="16" t="inlineStr">
        <is>
          <t>L-7</t>
        </is>
      </c>
      <c r="E226" s="22">
        <f>SUMIFS(Movements!$D$2:$D$20000,Movements!$B$2:$B$20000,$A226,Movements!$C$2:$C$20000,"RECEIPT")+SUMIFS(Movements!$D$2:$D$20000,Movements!$B$2:$B$20000,$A226,Movements!$C$2:$C$20000,"RETURN")+SUMIFS(Movements!$D$2:$D$20000,Movements!$B$2:$B$20000,$A226,Movements!$C$2:$C$20000,"ADJUST+")-SUMIFS(Movements!$D$2:$D$20000,Movements!$B$2:$B$20000,$A226,Movements!$C$2:$C$20000,"ISSUE")-SUMIFS(Movements!$D$2:$D$20000,Movements!$B$2:$B$20000,$A226,Movements!$C$2:$C$20000,"SCRAP")-SUMIFS(Movements!$D$2:$D$20000,Movements!$B$2:$B$20000,$A226,Movements!$C$2:$C$20000,"ADJUST-")</f>
        <v/>
      </c>
      <c r="F226" s="16" t="n">
        <v>100</v>
      </c>
      <c r="G226" s="23">
        <f>IF($E226&lt;=0,"OUT OF STOCK",IF(AND($F226&gt;0,$E226&lt;=$F226*0.2),"LOW STOCK","IN STOCK"))</f>
        <v/>
      </c>
    </row>
    <row r="227" ht="15" customHeight="1" s="13">
      <c r="A227" s="16" t="inlineStr">
        <is>
          <t>7219/0494</t>
        </is>
      </c>
      <c r="B227" s="16" t="inlineStr">
        <is>
          <t>66 Way SRC PIN HSG</t>
        </is>
      </c>
      <c r="C227" s="16" t="inlineStr">
        <is>
          <t>NO</t>
        </is>
      </c>
      <c r="D227" s="16" t="inlineStr">
        <is>
          <t>EMC-06</t>
        </is>
      </c>
      <c r="E227" s="22">
        <f>SUMIFS(Movements!$D$2:$D$20000,Movements!$B$2:$B$20000,$A227,Movements!$C$2:$C$20000,"RECEIPT")+SUMIFS(Movements!$D$2:$D$20000,Movements!$B$2:$B$20000,$A227,Movements!$C$2:$C$20000,"RETURN")+SUMIFS(Movements!$D$2:$D$20000,Movements!$B$2:$B$20000,$A227,Movements!$C$2:$C$20000,"ADJUST+")-SUMIFS(Movements!$D$2:$D$20000,Movements!$B$2:$B$20000,$A227,Movements!$C$2:$C$20000,"ISSUE")-SUMIFS(Movements!$D$2:$D$20000,Movements!$B$2:$B$20000,$A227,Movements!$C$2:$C$20000,"SCRAP")-SUMIFS(Movements!$D$2:$D$20000,Movements!$B$2:$B$20000,$A227,Movements!$C$2:$C$20000,"ADJUST-")</f>
        <v/>
      </c>
      <c r="F227" s="16" t="n">
        <v>3</v>
      </c>
      <c r="G227" s="23">
        <f>IF($E227&lt;=0,"OUT OF STOCK",IF(AND($F227&gt;0,$E227&lt;=$F227*0.2),"LOW STOCK","IN STOCK"))</f>
        <v/>
      </c>
    </row>
    <row r="228" ht="15" customHeight="1" s="13">
      <c r="A228" s="16" t="inlineStr">
        <is>
          <t>7219/0493</t>
        </is>
      </c>
      <c r="B228" s="16" t="inlineStr">
        <is>
          <t>66 WAY SRC SKT HSG</t>
        </is>
      </c>
      <c r="C228" s="16" t="inlineStr">
        <is>
          <t>NO</t>
        </is>
      </c>
      <c r="D228" s="16" t="inlineStr">
        <is>
          <t>EMC-06</t>
        </is>
      </c>
      <c r="E228" s="22">
        <f>SUMIFS(Movements!$D$2:$D$20000,Movements!$B$2:$B$20000,$A228,Movements!$C$2:$C$20000,"RECEIPT")+SUMIFS(Movements!$D$2:$D$20000,Movements!$B$2:$B$20000,$A228,Movements!$C$2:$C$20000,"RETURN")+SUMIFS(Movements!$D$2:$D$20000,Movements!$B$2:$B$20000,$A228,Movements!$C$2:$C$20000,"ADJUST+")-SUMIFS(Movements!$D$2:$D$20000,Movements!$B$2:$B$20000,$A228,Movements!$C$2:$C$20000,"ISSUE")-SUMIFS(Movements!$D$2:$D$20000,Movements!$B$2:$B$20000,$A228,Movements!$C$2:$C$20000,"SCRAP")-SUMIFS(Movements!$D$2:$D$20000,Movements!$B$2:$B$20000,$A228,Movements!$C$2:$C$20000,"ADJUST-")</f>
        <v/>
      </c>
      <c r="F228" s="16" t="n">
        <v>3</v>
      </c>
      <c r="G228" s="23">
        <f>IF($E228&lt;=0,"OUT OF STOCK",IF(AND($F228&gt;0,$E228&lt;=$F228*0.2),"LOW STOCK","IN STOCK"))</f>
        <v/>
      </c>
    </row>
    <row r="229" ht="15" customHeight="1" s="13">
      <c r="A229" s="16" t="inlineStr">
        <is>
          <t>7201/1137</t>
        </is>
      </c>
      <c r="B229" s="16" t="inlineStr">
        <is>
          <t>0.2-0.5mm2 110PL SKT TIN TERM</t>
        </is>
      </c>
      <c r="C229" s="16" t="inlineStr">
        <is>
          <t>NO</t>
        </is>
      </c>
      <c r="D229" s="16" t="inlineStr">
        <is>
          <t>BIN-6-02</t>
        </is>
      </c>
      <c r="E229" s="22">
        <f>SUMIFS(Movements!$D$2:$D$20000,Movements!$B$2:$B$20000,$A229,Movements!$C$2:$C$20000,"RECEIPT")+SUMIFS(Movements!$D$2:$D$20000,Movements!$B$2:$B$20000,$A229,Movements!$C$2:$C$20000,"RETURN")+SUMIFS(Movements!$D$2:$D$20000,Movements!$B$2:$B$20000,$A229,Movements!$C$2:$C$20000,"ADJUST+")-SUMIFS(Movements!$D$2:$D$20000,Movements!$B$2:$B$20000,$A229,Movements!$C$2:$C$20000,"ISSUE")-SUMIFS(Movements!$D$2:$D$20000,Movements!$B$2:$B$20000,$A229,Movements!$C$2:$C$20000,"SCRAP")-SUMIFS(Movements!$D$2:$D$20000,Movements!$B$2:$B$20000,$A229,Movements!$C$2:$C$20000,"ADJUST-")</f>
        <v/>
      </c>
      <c r="F229" s="16" t="n">
        <v>50</v>
      </c>
      <c r="G229" s="23">
        <f>IF($E229&lt;=0,"OUT OF STOCK",IF(AND($F229&gt;0,$E229&lt;=$F229*0.2),"LOW STOCK","IN STOCK"))</f>
        <v/>
      </c>
    </row>
    <row r="230" ht="15" customHeight="1" s="13">
      <c r="A230" s="16" t="inlineStr">
        <is>
          <t>7231/0008</t>
        </is>
      </c>
      <c r="B230" s="16" t="inlineStr">
        <is>
          <t>1 Way 4.8 Pos Lock Fem Hsg</t>
        </is>
      </c>
      <c r="C230" s="16" t="inlineStr">
        <is>
          <t>NO</t>
        </is>
      </c>
      <c r="D230" s="16" t="inlineStr">
        <is>
          <t>EMC-06</t>
        </is>
      </c>
      <c r="E230" s="22">
        <f>SUMIFS(Movements!$D$2:$D$20000,Movements!$B$2:$B$20000,$A230,Movements!$C$2:$C$20000,"RECEIPT")+SUMIFS(Movements!$D$2:$D$20000,Movements!$B$2:$B$20000,$A230,Movements!$C$2:$C$20000,"RETURN")+SUMIFS(Movements!$D$2:$D$20000,Movements!$B$2:$B$20000,$A230,Movements!$C$2:$C$20000,"ADJUST+")-SUMIFS(Movements!$D$2:$D$20000,Movements!$B$2:$B$20000,$A230,Movements!$C$2:$C$20000,"ISSUE")-SUMIFS(Movements!$D$2:$D$20000,Movements!$B$2:$B$20000,$A230,Movements!$C$2:$C$20000,"SCRAP")-SUMIFS(Movements!$D$2:$D$20000,Movements!$B$2:$B$20000,$A230,Movements!$C$2:$C$20000,"ADJUST-")</f>
        <v/>
      </c>
      <c r="F230" s="16" t="n">
        <v>10</v>
      </c>
      <c r="G230" s="23">
        <f>IF($E230&lt;=0,"OUT OF STOCK",IF(AND($F230&gt;0,$E230&lt;=$F230*0.2),"LOW STOCK","IN STOCK"))</f>
        <v/>
      </c>
    </row>
    <row r="231" ht="15" customHeight="1" s="13">
      <c r="A231" s="16" t="inlineStr">
        <is>
          <t>7204/0160</t>
        </is>
      </c>
      <c r="B231" s="16" t="inlineStr">
        <is>
          <t>0.50-1.00mm² Timer Pin Term Silver</t>
        </is>
      </c>
      <c r="C231" s="16" t="inlineStr">
        <is>
          <t>NO</t>
        </is>
      </c>
      <c r="D231" s="16" t="inlineStr">
        <is>
          <t>L-8</t>
        </is>
      </c>
      <c r="E231" s="22">
        <f>SUMIFS(Movements!$D$2:$D$20000,Movements!$B$2:$B$20000,$A231,Movements!$C$2:$C$20000,"RECEIPT")+SUMIFS(Movements!$D$2:$D$20000,Movements!$B$2:$B$20000,$A231,Movements!$C$2:$C$20000,"RETURN")+SUMIFS(Movements!$D$2:$D$20000,Movements!$B$2:$B$20000,$A231,Movements!$C$2:$C$20000,"ADJUST+")-SUMIFS(Movements!$D$2:$D$20000,Movements!$B$2:$B$20000,$A231,Movements!$C$2:$C$20000,"ISSUE")-SUMIFS(Movements!$D$2:$D$20000,Movements!$B$2:$B$20000,$A231,Movements!$C$2:$C$20000,"SCRAP")-SUMIFS(Movements!$D$2:$D$20000,Movements!$B$2:$B$20000,$A231,Movements!$C$2:$C$20000,"ADJUST-")</f>
        <v/>
      </c>
      <c r="F231" s="16" t="n">
        <v>100</v>
      </c>
      <c r="G231" s="23">
        <f>IF($E231&lt;=0,"OUT OF STOCK",IF(AND($F231&gt;0,$E231&lt;=$F231*0.2),"LOW STOCK","IN STOCK"))</f>
        <v/>
      </c>
    </row>
    <row r="232" ht="15" customHeight="1" s="13">
      <c r="A232" s="16" t="inlineStr">
        <is>
          <t>7204/0124</t>
        </is>
      </c>
      <c r="B232" s="16" t="inlineStr">
        <is>
          <t>0.50-1.00mm² Male 1.5 MCP Term Silver</t>
        </is>
      </c>
      <c r="C232" s="16" t="inlineStr">
        <is>
          <t>NO</t>
        </is>
      </c>
      <c r="D232" s="16" t="inlineStr">
        <is>
          <t>L-9</t>
        </is>
      </c>
      <c r="E232" s="22">
        <f>SUMIFS(Movements!$D$2:$D$20000,Movements!$B$2:$B$20000,$A232,Movements!$C$2:$C$20000,"RECEIPT")+SUMIFS(Movements!$D$2:$D$20000,Movements!$B$2:$B$20000,$A232,Movements!$C$2:$C$20000,"RETURN")+SUMIFS(Movements!$D$2:$D$20000,Movements!$B$2:$B$20000,$A232,Movements!$C$2:$C$20000,"ADJUST+")-SUMIFS(Movements!$D$2:$D$20000,Movements!$B$2:$B$20000,$A232,Movements!$C$2:$C$20000,"ISSUE")-SUMIFS(Movements!$D$2:$D$20000,Movements!$B$2:$B$20000,$A232,Movements!$C$2:$C$20000,"SCRAP")-SUMIFS(Movements!$D$2:$D$20000,Movements!$B$2:$B$20000,$A232,Movements!$C$2:$C$20000,"ADJUST-")</f>
        <v/>
      </c>
      <c r="F232" s="16" t="n">
        <v>67</v>
      </c>
      <c r="G232" s="23">
        <f>IF($E232&lt;=0,"OUT OF STOCK",IF(AND($F232&gt;0,$E232&lt;=$F232*0.2),"LOW STOCK","IN STOCK"))</f>
        <v/>
      </c>
    </row>
    <row r="233" ht="15" customHeight="1" s="13">
      <c r="A233" s="16" t="inlineStr">
        <is>
          <t>7201/0070</t>
        </is>
      </c>
      <c r="B233" s="16" t="inlineStr">
        <is>
          <t>0.75-2.00mm² Size 16 Socket Terminal</t>
        </is>
      </c>
      <c r="C233" s="16" t="inlineStr">
        <is>
          <t>NO</t>
        </is>
      </c>
      <c r="D233" s="16" t="inlineStr">
        <is>
          <t>L-10</t>
        </is>
      </c>
      <c r="E233" s="22">
        <f>SUMIFS(Movements!$D$2:$D$20000,Movements!$B$2:$B$20000,$A233,Movements!$C$2:$C$20000,"RECEIPT")+SUMIFS(Movements!$D$2:$D$20000,Movements!$B$2:$B$20000,$A233,Movements!$C$2:$C$20000,"RETURN")+SUMIFS(Movements!$D$2:$D$20000,Movements!$B$2:$B$20000,$A233,Movements!$C$2:$C$20000,"ADJUST+")-SUMIFS(Movements!$D$2:$D$20000,Movements!$B$2:$B$20000,$A233,Movements!$C$2:$C$20000,"ISSUE")-SUMIFS(Movements!$D$2:$D$20000,Movements!$B$2:$B$20000,$A233,Movements!$C$2:$C$20000,"SCRAP")-SUMIFS(Movements!$D$2:$D$20000,Movements!$B$2:$B$20000,$A233,Movements!$C$2:$C$20000,"ADJUST-")</f>
        <v/>
      </c>
      <c r="F233" s="16" t="n">
        <v>100</v>
      </c>
      <c r="G233" s="23">
        <f>IF($E233&lt;=0,"OUT OF STOCK",IF(AND($F233&gt;0,$E233&lt;=$F233*0.2),"LOW STOCK","IN STOCK"))</f>
        <v/>
      </c>
    </row>
    <row r="234" ht="15" customHeight="1" s="13">
      <c r="A234" s="16" t="inlineStr">
        <is>
          <t>7201/0657</t>
        </is>
      </c>
      <c r="B234" s="16" t="inlineStr">
        <is>
          <t>0.50-1.00mm² MCP1.5K SKT Term Silver</t>
        </is>
      </c>
      <c r="C234" s="16" t="inlineStr">
        <is>
          <t>NO</t>
        </is>
      </c>
      <c r="D234" s="16" t="inlineStr">
        <is>
          <t>L-7</t>
        </is>
      </c>
      <c r="E234" s="22">
        <f>SUMIFS(Movements!$D$2:$D$20000,Movements!$B$2:$B$20000,$A234,Movements!$C$2:$C$20000,"RECEIPT")+SUMIFS(Movements!$D$2:$D$20000,Movements!$B$2:$B$20000,$A234,Movements!$C$2:$C$20000,"RETURN")+SUMIFS(Movements!$D$2:$D$20000,Movements!$B$2:$B$20000,$A234,Movements!$C$2:$C$20000,"ADJUST+")-SUMIFS(Movements!$D$2:$D$20000,Movements!$B$2:$B$20000,$A234,Movements!$C$2:$C$20000,"ISSUE")-SUMIFS(Movements!$D$2:$D$20000,Movements!$B$2:$B$20000,$A234,Movements!$C$2:$C$20000,"SCRAP")-SUMIFS(Movements!$D$2:$D$20000,Movements!$B$2:$B$20000,$A234,Movements!$C$2:$C$20000,"ADJUST-")</f>
        <v/>
      </c>
      <c r="F234" s="16" t="n">
        <v>100</v>
      </c>
      <c r="G234" s="23">
        <f>IF($E234&lt;=0,"OUT OF STOCK",IF(AND($F234&gt;0,$E234&lt;=$F234*0.2),"LOW STOCK","IN STOCK"))</f>
        <v/>
      </c>
    </row>
    <row r="235" ht="15" customHeight="1" s="13">
      <c r="A235" s="16" t="inlineStr">
        <is>
          <t>7201/0653</t>
        </is>
      </c>
      <c r="B235" s="16" t="inlineStr">
        <is>
          <t>MCP2.8 Fem Timer 0.5-1.0 Silver</t>
        </is>
      </c>
      <c r="C235" s="16" t="inlineStr">
        <is>
          <t>NO</t>
        </is>
      </c>
      <c r="D235" s="16" t="inlineStr">
        <is>
          <t>L-7</t>
        </is>
      </c>
      <c r="E235" s="22">
        <f>SUMIFS(Movements!$D$2:$D$20000,Movements!$B$2:$B$20000,$A235,Movements!$C$2:$C$20000,"RECEIPT")+SUMIFS(Movements!$D$2:$D$20000,Movements!$B$2:$B$20000,$A235,Movements!$C$2:$C$20000,"RETURN")+SUMIFS(Movements!$D$2:$D$20000,Movements!$B$2:$B$20000,$A235,Movements!$C$2:$C$20000,"ADJUST+")-SUMIFS(Movements!$D$2:$D$20000,Movements!$B$2:$B$20000,$A235,Movements!$C$2:$C$20000,"ISSUE")-SUMIFS(Movements!$D$2:$D$20000,Movements!$B$2:$B$20000,$A235,Movements!$C$2:$C$20000,"SCRAP")-SUMIFS(Movements!$D$2:$D$20000,Movements!$B$2:$B$20000,$A235,Movements!$C$2:$C$20000,"ADJUST-")</f>
        <v/>
      </c>
      <c r="F235" s="16" t="n">
        <v>100</v>
      </c>
      <c r="G235" s="23">
        <f>IF($E235&lt;=0,"OUT OF STOCK",IF(AND($F235&gt;0,$E235&lt;=$F235*0.2),"LOW STOCK","IN STOCK"))</f>
        <v/>
      </c>
    </row>
    <row r="236" ht="15" customHeight="1" s="13">
      <c r="A236" s="16" t="inlineStr">
        <is>
          <t>7213/0083</t>
        </is>
      </c>
      <c r="B236" s="16" t="inlineStr">
        <is>
          <t>3 Way HDSCS SKT HSG Key A</t>
        </is>
      </c>
      <c r="C236" s="16" t="inlineStr">
        <is>
          <t>NO</t>
        </is>
      </c>
      <c r="D236" s="16" t="inlineStr">
        <is>
          <t>L-9</t>
        </is>
      </c>
      <c r="E236" s="22">
        <f>SUMIFS(Movements!$D$2:$D$20000,Movements!$B$2:$B$20000,$A236,Movements!$C$2:$C$20000,"RECEIPT")+SUMIFS(Movements!$D$2:$D$20000,Movements!$B$2:$B$20000,$A236,Movements!$C$2:$C$20000,"RETURN")+SUMIFS(Movements!$D$2:$D$20000,Movements!$B$2:$B$20000,$A236,Movements!$C$2:$C$20000,"ADJUST+")-SUMIFS(Movements!$D$2:$D$20000,Movements!$B$2:$B$20000,$A236,Movements!$C$2:$C$20000,"ISSUE")-SUMIFS(Movements!$D$2:$D$20000,Movements!$B$2:$B$20000,$A236,Movements!$C$2:$C$20000,"SCRAP")-SUMIFS(Movements!$D$2:$D$20000,Movements!$B$2:$B$20000,$A236,Movements!$C$2:$C$20000,"ADJUST-")</f>
        <v/>
      </c>
      <c r="F236" s="16" t="n">
        <v>10</v>
      </c>
      <c r="G236" s="23">
        <f>IF($E236&lt;=0,"OUT OF STOCK",IF(AND($F236&gt;0,$E236&lt;=$F236*0.2),"LOW STOCK","IN STOCK"))</f>
        <v/>
      </c>
    </row>
    <row r="237" ht="15" customHeight="1" s="13">
      <c r="A237" s="16" t="inlineStr">
        <is>
          <t>7243/0575</t>
        </is>
      </c>
      <c r="B237" s="16" t="inlineStr">
        <is>
          <t>3 Way HP Adapter 90 Deg Left/Right NC08</t>
        </is>
      </c>
      <c r="C237" s="16" t="inlineStr">
        <is>
          <t>NO</t>
        </is>
      </c>
      <c r="D237" s="16" t="inlineStr">
        <is>
          <t>L-3</t>
        </is>
      </c>
      <c r="E237" s="22">
        <f>SUMIFS(Movements!$D$2:$D$20000,Movements!$B$2:$B$20000,$A237,Movements!$C$2:$C$20000,"RECEIPT")+SUMIFS(Movements!$D$2:$D$20000,Movements!$B$2:$B$20000,$A237,Movements!$C$2:$C$20000,"RETURN")+SUMIFS(Movements!$D$2:$D$20000,Movements!$B$2:$B$20000,$A237,Movements!$C$2:$C$20000,"ADJUST+")-SUMIFS(Movements!$D$2:$D$20000,Movements!$B$2:$B$20000,$A237,Movements!$C$2:$C$20000,"ISSUE")-SUMIFS(Movements!$D$2:$D$20000,Movements!$B$2:$B$20000,$A237,Movements!$C$2:$C$20000,"SCRAP")-SUMIFS(Movements!$D$2:$D$20000,Movements!$B$2:$B$20000,$A237,Movements!$C$2:$C$20000,"ADJUST-")</f>
        <v/>
      </c>
      <c r="F237" s="16" t="n">
        <v>10</v>
      </c>
      <c r="G237" s="23">
        <f>IF($E237&lt;=0,"OUT OF STOCK",IF(AND($F237&gt;0,$E237&lt;=$F237*0.2),"LOW STOCK","IN STOCK"))</f>
        <v/>
      </c>
    </row>
    <row r="238" ht="15" customHeight="1" s="13">
      <c r="A238" s="16" t="inlineStr">
        <is>
          <t>7213/0099</t>
        </is>
      </c>
      <c r="B238" s="16" t="inlineStr">
        <is>
          <t>3 Way DT04 Pin HSG Snap Cap</t>
        </is>
      </c>
      <c r="C238" s="16" t="inlineStr">
        <is>
          <t>NO</t>
        </is>
      </c>
      <c r="D238" s="16" t="inlineStr">
        <is>
          <t>S-1</t>
        </is>
      </c>
      <c r="E238" s="22">
        <f>SUMIFS(Movements!$D$2:$D$20000,Movements!$B$2:$B$20000,$A238,Movements!$C$2:$C$20000,"RECEIPT")+SUMIFS(Movements!$D$2:$D$20000,Movements!$B$2:$B$20000,$A238,Movements!$C$2:$C$20000,"RETURN")+SUMIFS(Movements!$D$2:$D$20000,Movements!$B$2:$B$20000,$A238,Movements!$C$2:$C$20000,"ADJUST+")-SUMIFS(Movements!$D$2:$D$20000,Movements!$B$2:$B$20000,$A238,Movements!$C$2:$C$20000,"ISSUE")-SUMIFS(Movements!$D$2:$D$20000,Movements!$B$2:$B$20000,$A238,Movements!$C$2:$C$20000,"SCRAP")-SUMIFS(Movements!$D$2:$D$20000,Movements!$B$2:$B$20000,$A238,Movements!$C$2:$C$20000,"ADJUST-")</f>
        <v/>
      </c>
      <c r="F238" s="16" t="n">
        <v>5</v>
      </c>
      <c r="G238" s="23">
        <f>IF($E238&lt;=0,"OUT OF STOCK",IF(AND($F238&gt;0,$E238&lt;=$F238*0.2),"LOW STOCK","IN STOCK"))</f>
        <v/>
      </c>
    </row>
    <row r="239" ht="15" customHeight="1" s="13">
      <c r="A239" s="16" t="inlineStr">
        <is>
          <t>7213/0098</t>
        </is>
      </c>
      <c r="B239" s="16" t="inlineStr">
        <is>
          <t>3 Way DT06 SKT HSG Snap Cap</t>
        </is>
      </c>
      <c r="C239" s="16" t="inlineStr">
        <is>
          <t>NO</t>
        </is>
      </c>
      <c r="D239" s="16" t="inlineStr">
        <is>
          <t>D1-3</t>
        </is>
      </c>
      <c r="E239" s="22">
        <f>SUMIFS(Movements!$D$2:$D$20000,Movements!$B$2:$B$20000,$A239,Movements!$C$2:$C$20000,"RECEIPT")+SUMIFS(Movements!$D$2:$D$20000,Movements!$B$2:$B$20000,$A239,Movements!$C$2:$C$20000,"RETURN")+SUMIFS(Movements!$D$2:$D$20000,Movements!$B$2:$B$20000,$A239,Movements!$C$2:$C$20000,"ADJUST+")-SUMIFS(Movements!$D$2:$D$20000,Movements!$B$2:$B$20000,$A239,Movements!$C$2:$C$20000,"ISSUE")-SUMIFS(Movements!$D$2:$D$20000,Movements!$B$2:$B$20000,$A239,Movements!$C$2:$C$20000,"SCRAP")-SUMIFS(Movements!$D$2:$D$20000,Movements!$B$2:$B$20000,$A239,Movements!$C$2:$C$20000,"ADJUST-")</f>
        <v/>
      </c>
      <c r="F239" s="16" t="n">
        <v>5</v>
      </c>
      <c r="G239" s="23">
        <f>IF($E239&lt;=0,"OUT OF STOCK",IF(AND($F239&gt;0,$E239&lt;=$F239*0.2),"LOW STOCK","IN STOCK"))</f>
        <v/>
      </c>
    </row>
    <row r="240" ht="15" customHeight="1" s="13">
      <c r="A240" s="16" t="inlineStr">
        <is>
          <t>716/30252</t>
        </is>
      </c>
      <c r="B240" s="16" t="inlineStr">
        <is>
          <t>Relay Grid Heater</t>
        </is>
      </c>
      <c r="C240" s="16" t="inlineStr">
        <is>
          <t>NO</t>
        </is>
      </c>
      <c r="D240" s="16" t="inlineStr">
        <is>
          <t>EMI CUPBOARD</t>
        </is>
      </c>
      <c r="E240" s="22">
        <f>SUMIFS(Movements!$D$2:$D$20000,Movements!$B$2:$B$20000,$A240,Movements!$C$2:$C$20000,"RECEIPT")+SUMIFS(Movements!$D$2:$D$20000,Movements!$B$2:$B$20000,$A240,Movements!$C$2:$C$20000,"RETURN")+SUMIFS(Movements!$D$2:$D$20000,Movements!$B$2:$B$20000,$A240,Movements!$C$2:$C$20000,"ADJUST+")-SUMIFS(Movements!$D$2:$D$20000,Movements!$B$2:$B$20000,$A240,Movements!$C$2:$C$20000,"ISSUE")-SUMIFS(Movements!$D$2:$D$20000,Movements!$B$2:$B$20000,$A240,Movements!$C$2:$C$20000,"SCRAP")-SUMIFS(Movements!$D$2:$D$20000,Movements!$B$2:$B$20000,$A240,Movements!$C$2:$C$20000,"ADJUST-")</f>
        <v/>
      </c>
      <c r="F240" s="16" t="n">
        <v>5</v>
      </c>
      <c r="G240" s="23">
        <f>IF($E240&lt;=0,"OUT OF STOCK",IF(AND($F240&gt;0,$E240&lt;=$F240*0.2),"LOW STOCK","IN STOCK"))</f>
        <v/>
      </c>
    </row>
    <row r="241" ht="15" customHeight="1" s="13">
      <c r="A241" s="16" t="inlineStr">
        <is>
          <t>7219/0019</t>
        </is>
      </c>
      <c r="B241" s="16" t="inlineStr">
        <is>
          <t>12 Way DTM06 Socket Housing Key B</t>
        </is>
      </c>
      <c r="C241" s="16" t="inlineStr">
        <is>
          <t>NO</t>
        </is>
      </c>
      <c r="D241" s="16" t="inlineStr">
        <is>
          <t>EMC-05</t>
        </is>
      </c>
      <c r="E241" s="22">
        <f>SUMIFS(Movements!$D$2:$D$20000,Movements!$B$2:$B$20000,$A241,Movements!$C$2:$C$20000,"RECEIPT")+SUMIFS(Movements!$D$2:$D$20000,Movements!$B$2:$B$20000,$A241,Movements!$C$2:$C$20000,"RETURN")+SUMIFS(Movements!$D$2:$D$20000,Movements!$B$2:$B$20000,$A241,Movements!$C$2:$C$20000,"ADJUST+")-SUMIFS(Movements!$D$2:$D$20000,Movements!$B$2:$B$20000,$A241,Movements!$C$2:$C$20000,"ISSUE")-SUMIFS(Movements!$D$2:$D$20000,Movements!$B$2:$B$20000,$A241,Movements!$C$2:$C$20000,"SCRAP")-SUMIFS(Movements!$D$2:$D$20000,Movements!$B$2:$B$20000,$A241,Movements!$C$2:$C$20000,"ADJUST-")</f>
        <v/>
      </c>
      <c r="F241" s="16" t="n">
        <v>10</v>
      </c>
      <c r="G241" s="23">
        <f>IF($E241&lt;=0,"OUT OF STOCK",IF(AND($F241&gt;0,$E241&lt;=$F241*0.2),"LOW STOCK","IN STOCK"))</f>
        <v/>
      </c>
    </row>
    <row r="242" ht="15" customHeight="1" s="13">
      <c r="A242" s="16" t="inlineStr">
        <is>
          <t>7239/0084</t>
        </is>
      </c>
      <c r="B242" s="16" t="inlineStr">
        <is>
          <t>36 WAY MCP 1.5K SKT INSERT HSG</t>
        </is>
      </c>
      <c r="C242" s="16" t="inlineStr">
        <is>
          <t>NO</t>
        </is>
      </c>
      <c r="D242" s="16" t="inlineStr">
        <is>
          <t>EMC-05</t>
        </is>
      </c>
      <c r="E242" s="22">
        <f>SUMIFS(Movements!$D$2:$D$20000,Movements!$B$2:$B$20000,$A242,Movements!$C$2:$C$20000,"RECEIPT")+SUMIFS(Movements!$D$2:$D$20000,Movements!$B$2:$B$20000,$A242,Movements!$C$2:$C$20000,"RETURN")+SUMIFS(Movements!$D$2:$D$20000,Movements!$B$2:$B$20000,$A242,Movements!$C$2:$C$20000,"ADJUST+")-SUMIFS(Movements!$D$2:$D$20000,Movements!$B$2:$B$20000,$A242,Movements!$C$2:$C$20000,"ISSUE")-SUMIFS(Movements!$D$2:$D$20000,Movements!$B$2:$B$20000,$A242,Movements!$C$2:$C$20000,"SCRAP")-SUMIFS(Movements!$D$2:$D$20000,Movements!$B$2:$B$20000,$A242,Movements!$C$2:$C$20000,"ADJUST-")</f>
        <v/>
      </c>
      <c r="F242" s="16" t="n">
        <v>50</v>
      </c>
      <c r="G242" s="23">
        <f>IF($E242&lt;=0,"OUT OF STOCK",IF(AND($F242&gt;0,$E242&lt;=$F242*0.2),"LOW STOCK","IN STOCK"))</f>
        <v/>
      </c>
    </row>
    <row r="243" ht="15" customHeight="1" s="13">
      <c r="A243" s="16" t="inlineStr">
        <is>
          <t>7219/0402</t>
        </is>
      </c>
      <c r="B243" s="16" t="inlineStr">
        <is>
          <t>21 Way AMP MCP 2.8 SKT HSG Black</t>
        </is>
      </c>
      <c r="C243" s="16" t="inlineStr">
        <is>
          <t>NO</t>
        </is>
      </c>
      <c r="D243" s="16" t="inlineStr">
        <is>
          <t>L-14</t>
        </is>
      </c>
      <c r="E243" s="22">
        <f>SUMIFS(Movements!$D$2:$D$20000,Movements!$B$2:$B$20000,$A243,Movements!$C$2:$C$20000,"RECEIPT")+SUMIFS(Movements!$D$2:$D$20000,Movements!$B$2:$B$20000,$A243,Movements!$C$2:$C$20000,"RETURN")+SUMIFS(Movements!$D$2:$D$20000,Movements!$B$2:$B$20000,$A243,Movements!$C$2:$C$20000,"ADJUST+")-SUMIFS(Movements!$D$2:$D$20000,Movements!$B$2:$B$20000,$A243,Movements!$C$2:$C$20000,"ISSUE")-SUMIFS(Movements!$D$2:$D$20000,Movements!$B$2:$B$20000,$A243,Movements!$C$2:$C$20000,"SCRAP")-SUMIFS(Movements!$D$2:$D$20000,Movements!$B$2:$B$20000,$A243,Movements!$C$2:$C$20000,"ADJUST-")</f>
        <v/>
      </c>
      <c r="F243" s="16" t="n">
        <v>12</v>
      </c>
      <c r="G243" s="23">
        <f>IF($E243&lt;=0,"OUT OF STOCK",IF(AND($F243&gt;0,$E243&lt;=$F243*0.2),"LOW STOCK","IN STOCK"))</f>
        <v/>
      </c>
    </row>
    <row r="244" ht="15" customHeight="1" s="13">
      <c r="A244" s="16" t="inlineStr">
        <is>
          <t>7219/0219</t>
        </is>
      </c>
      <c r="B244" s="16" t="inlineStr">
        <is>
          <t>62 Way MCP 1.5K Tab Hsg Blk Key A</t>
        </is>
      </c>
      <c r="C244" s="16" t="inlineStr">
        <is>
          <t>NO</t>
        </is>
      </c>
      <c r="D244" s="16" t="inlineStr">
        <is>
          <t>EMI CUPBOARD</t>
        </is>
      </c>
      <c r="E244" s="22">
        <f>SUMIFS(Movements!$D$2:$D$20000,Movements!$B$2:$B$20000,$A244,Movements!$C$2:$C$20000,"RECEIPT")+SUMIFS(Movements!$D$2:$D$20000,Movements!$B$2:$B$20000,$A244,Movements!$C$2:$C$20000,"RETURN")+SUMIFS(Movements!$D$2:$D$20000,Movements!$B$2:$B$20000,$A244,Movements!$C$2:$C$20000,"ADJUST+")-SUMIFS(Movements!$D$2:$D$20000,Movements!$B$2:$B$20000,$A244,Movements!$C$2:$C$20000,"ISSUE")-SUMIFS(Movements!$D$2:$D$20000,Movements!$B$2:$B$20000,$A244,Movements!$C$2:$C$20000,"SCRAP")-SUMIFS(Movements!$D$2:$D$20000,Movements!$B$2:$B$20000,$A244,Movements!$C$2:$C$20000,"ADJUST-")</f>
        <v/>
      </c>
      <c r="F244" s="16" t="n">
        <v>5</v>
      </c>
      <c r="G244" s="23">
        <f>IF($E244&lt;=0,"OUT OF STOCK",IF(AND($F244&gt;0,$E244&lt;=$F244*0.2),"LOW STOCK","IN STOCK"))</f>
        <v/>
      </c>
    </row>
    <row r="245" ht="15" customHeight="1" s="13">
      <c r="A245" s="16" t="inlineStr">
        <is>
          <t>7219/0196</t>
        </is>
      </c>
      <c r="B245" s="16" t="inlineStr">
        <is>
          <t>55 Way Sealed JPT SKT Hsg</t>
        </is>
      </c>
      <c r="C245" s="16" t="inlineStr">
        <is>
          <t>NO</t>
        </is>
      </c>
      <c r="D245" s="16" t="inlineStr">
        <is>
          <t>D1-3</t>
        </is>
      </c>
      <c r="E245" s="22">
        <f>SUMIFS(Movements!$D$2:$D$20000,Movements!$B$2:$B$20000,$A245,Movements!$C$2:$C$20000,"RECEIPT")+SUMIFS(Movements!$D$2:$D$20000,Movements!$B$2:$B$20000,$A245,Movements!$C$2:$C$20000,"RETURN")+SUMIFS(Movements!$D$2:$D$20000,Movements!$B$2:$B$20000,$A245,Movements!$C$2:$C$20000,"ADJUST+")-SUMIFS(Movements!$D$2:$D$20000,Movements!$B$2:$B$20000,$A245,Movements!$C$2:$C$20000,"ISSUE")-SUMIFS(Movements!$D$2:$D$20000,Movements!$B$2:$B$20000,$A245,Movements!$C$2:$C$20000,"SCRAP")-SUMIFS(Movements!$D$2:$D$20000,Movements!$B$2:$B$20000,$A245,Movements!$C$2:$C$20000,"ADJUST-")</f>
        <v/>
      </c>
      <c r="F245" s="16" t="n">
        <v>10</v>
      </c>
      <c r="G245" s="23">
        <f>IF($E245&lt;=0,"OUT OF STOCK",IF(AND($F245&gt;0,$E245&lt;=$F245*0.2),"LOW STOCK","IN STOCK"))</f>
        <v/>
      </c>
    </row>
    <row r="246" ht="15" customHeight="1" s="13">
      <c r="A246" s="16" t="inlineStr">
        <is>
          <t>7201/0747</t>
        </is>
      </c>
      <c r="B246" s="16" t="inlineStr">
        <is>
          <t>1.00-2.50mm² MCON 2.8 SKT TERM Tin</t>
        </is>
      </c>
      <c r="C246" s="16" t="inlineStr">
        <is>
          <t>NO</t>
        </is>
      </c>
      <c r="D246" s="16" t="inlineStr">
        <is>
          <t>D2-1</t>
        </is>
      </c>
      <c r="E246" s="22">
        <f>SUMIFS(Movements!$D$2:$D$20000,Movements!$B$2:$B$20000,$A246,Movements!$C$2:$C$20000,"RECEIPT")+SUMIFS(Movements!$D$2:$D$20000,Movements!$B$2:$B$20000,$A246,Movements!$C$2:$C$20000,"RETURN")+SUMIFS(Movements!$D$2:$D$20000,Movements!$B$2:$B$20000,$A246,Movements!$C$2:$C$20000,"ADJUST+")-SUMIFS(Movements!$D$2:$D$20000,Movements!$B$2:$B$20000,$A246,Movements!$C$2:$C$20000,"ISSUE")-SUMIFS(Movements!$D$2:$D$20000,Movements!$B$2:$B$20000,$A246,Movements!$C$2:$C$20000,"SCRAP")-SUMIFS(Movements!$D$2:$D$20000,Movements!$B$2:$B$20000,$A246,Movements!$C$2:$C$20000,"ADJUST-")</f>
        <v/>
      </c>
      <c r="F246" s="16" t="n">
        <v>170</v>
      </c>
      <c r="G246" s="23">
        <f>IF($E246&lt;=0,"OUT OF STOCK",IF(AND($F246&gt;0,$E246&lt;=$F246*0.2),"LOW STOCK","IN STOCK"))</f>
        <v/>
      </c>
    </row>
    <row r="247" ht="15" customHeight="1" s="13">
      <c r="A247" s="16" t="inlineStr">
        <is>
          <t>7210/0013</t>
        </is>
      </c>
      <c r="B247" s="16" t="inlineStr">
        <is>
          <t>Wire Seal JPT 2.20-3.00mm White</t>
        </is>
      </c>
      <c r="C247" s="16" t="inlineStr">
        <is>
          <t>NO</t>
        </is>
      </c>
      <c r="D247" s="16" t="inlineStr">
        <is>
          <t>seal box</t>
        </is>
      </c>
      <c r="E247" s="22">
        <f>SUMIFS(Movements!$D$2:$D$20000,Movements!$B$2:$B$20000,$A247,Movements!$C$2:$C$20000,"RECEIPT")+SUMIFS(Movements!$D$2:$D$20000,Movements!$B$2:$B$20000,$A247,Movements!$C$2:$C$20000,"RETURN")+SUMIFS(Movements!$D$2:$D$20000,Movements!$B$2:$B$20000,$A247,Movements!$C$2:$C$20000,"ADJUST+")-SUMIFS(Movements!$D$2:$D$20000,Movements!$B$2:$B$20000,$A247,Movements!$C$2:$C$20000,"ISSUE")-SUMIFS(Movements!$D$2:$D$20000,Movements!$B$2:$B$20000,$A247,Movements!$C$2:$C$20000,"SCRAP")-SUMIFS(Movements!$D$2:$D$20000,Movements!$B$2:$B$20000,$A247,Movements!$C$2:$C$20000,"ADJUST-")</f>
        <v/>
      </c>
      <c r="F247" s="16" t="n">
        <v>100</v>
      </c>
      <c r="G247" s="23">
        <f>IF($E247&lt;=0,"OUT OF STOCK",IF(AND($F247&gt;0,$E247&lt;=$F247*0.2),"LOW STOCK","IN STOCK"))</f>
        <v/>
      </c>
    </row>
    <row r="248" ht="15" customHeight="1" s="13">
      <c r="A248" s="16" t="inlineStr">
        <is>
          <t>7210/0049</t>
        </is>
      </c>
      <c r="B248" s="16" t="inlineStr">
        <is>
          <t>Wire Seal 1.20-1.60mm Superseal Green</t>
        </is>
      </c>
      <c r="C248" s="16" t="inlineStr">
        <is>
          <t>NO</t>
        </is>
      </c>
      <c r="D248" s="16" t="inlineStr">
        <is>
          <t>D2-1</t>
        </is>
      </c>
      <c r="E248" s="22">
        <f>SUMIFS(Movements!$D$2:$D$20000,Movements!$B$2:$B$20000,$A248,Movements!$C$2:$C$20000,"RECEIPT")+SUMIFS(Movements!$D$2:$D$20000,Movements!$B$2:$B$20000,$A248,Movements!$C$2:$C$20000,"RETURN")+SUMIFS(Movements!$D$2:$D$20000,Movements!$B$2:$B$20000,$A248,Movements!$C$2:$C$20000,"ADJUST+")-SUMIFS(Movements!$D$2:$D$20000,Movements!$B$2:$B$20000,$A248,Movements!$C$2:$C$20000,"ISSUE")-SUMIFS(Movements!$D$2:$D$20000,Movements!$B$2:$B$20000,$A248,Movements!$C$2:$C$20000,"SCRAP")-SUMIFS(Movements!$D$2:$D$20000,Movements!$B$2:$B$20000,$A248,Movements!$C$2:$C$20000,"ADJUST-")</f>
        <v/>
      </c>
      <c r="F248" s="16" t="n">
        <v>17</v>
      </c>
      <c r="G248" s="23">
        <f>IF($E248&lt;=0,"OUT OF STOCK",IF(AND($F248&gt;0,$E248&lt;=$F248*0.2),"LOW STOCK","IN STOCK"))</f>
        <v/>
      </c>
    </row>
    <row r="249" ht="15" customHeight="1" s="13">
      <c r="A249" s="16" t="inlineStr">
        <is>
          <t>7201/0669</t>
        </is>
      </c>
      <c r="B249" s="16" t="inlineStr">
        <is>
          <t>0.5-1.0 2.8 SSC SKT TERM</t>
        </is>
      </c>
      <c r="C249" s="16" t="inlineStr">
        <is>
          <t>NO</t>
        </is>
      </c>
      <c r="D249" s="16" t="inlineStr">
        <is>
          <t>L-7</t>
        </is>
      </c>
      <c r="E249" s="22">
        <f>SUMIFS(Movements!$D$2:$D$20000,Movements!$B$2:$B$20000,$A249,Movements!$C$2:$C$20000,"RECEIPT")+SUMIFS(Movements!$D$2:$D$20000,Movements!$B$2:$B$20000,$A249,Movements!$C$2:$C$20000,"RETURN")+SUMIFS(Movements!$D$2:$D$20000,Movements!$B$2:$B$20000,$A249,Movements!$C$2:$C$20000,"ADJUST+")-SUMIFS(Movements!$D$2:$D$20000,Movements!$B$2:$B$20000,$A249,Movements!$C$2:$C$20000,"ISSUE")-SUMIFS(Movements!$D$2:$D$20000,Movements!$B$2:$B$20000,$A249,Movements!$C$2:$C$20000,"SCRAP")-SUMIFS(Movements!$D$2:$D$20000,Movements!$B$2:$B$20000,$A249,Movements!$C$2:$C$20000,"ADJUST-")</f>
        <v/>
      </c>
      <c r="F249" s="16" t="n">
        <v>10</v>
      </c>
      <c r="G249" s="23">
        <f>IF($E249&lt;=0,"OUT OF STOCK",IF(AND($F249&gt;0,$E249&lt;=$F249*0.2),"LOW STOCK","IN STOCK"))</f>
        <v/>
      </c>
    </row>
    <row r="250" ht="15" customHeight="1" s="13">
      <c r="A250" s="16" t="inlineStr">
        <is>
          <t>7239/0089</t>
        </is>
      </c>
      <c r="B250" s="16" t="inlineStr">
        <is>
          <t>25 Way MCP1.5/2.8K SKT HSG KEY C</t>
        </is>
      </c>
      <c r="C250" s="16" t="inlineStr">
        <is>
          <t>NO</t>
        </is>
      </c>
      <c r="D250" s="16" t="inlineStr">
        <is>
          <t>L-3</t>
        </is>
      </c>
      <c r="E250" s="22">
        <f>SUMIFS(Movements!$D$2:$D$20000,Movements!$B$2:$B$20000,$A250,Movements!$C$2:$C$20000,"RECEIPT")+SUMIFS(Movements!$D$2:$D$20000,Movements!$B$2:$B$20000,$A250,Movements!$C$2:$C$20000,"RETURN")+SUMIFS(Movements!$D$2:$D$20000,Movements!$B$2:$B$20000,$A250,Movements!$C$2:$C$20000,"ADJUST+")-SUMIFS(Movements!$D$2:$D$20000,Movements!$B$2:$B$20000,$A250,Movements!$C$2:$C$20000,"ISSUE")-SUMIFS(Movements!$D$2:$D$20000,Movements!$B$2:$B$20000,$A250,Movements!$C$2:$C$20000,"SCRAP")-SUMIFS(Movements!$D$2:$D$20000,Movements!$B$2:$B$20000,$A250,Movements!$C$2:$C$20000,"ADJUST-")</f>
        <v/>
      </c>
      <c r="F250" s="16" t="n">
        <v>30</v>
      </c>
      <c r="G250" s="23">
        <f>IF($E250&lt;=0,"OUT OF STOCK",IF(AND($F250&gt;0,$E250&lt;=$F250*0.2),"LOW STOCK","IN STOCK"))</f>
        <v/>
      </c>
    </row>
    <row r="251" ht="15" customHeight="1" s="13">
      <c r="A251" s="16" t="inlineStr">
        <is>
          <t>7213/0031</t>
        </is>
      </c>
      <c r="B251" s="16" t="inlineStr">
        <is>
          <t>3 Way DT06 Socket Housing</t>
        </is>
      </c>
      <c r="C251" s="16" t="inlineStr">
        <is>
          <t>NO</t>
        </is>
      </c>
      <c r="D251" s="16" t="inlineStr">
        <is>
          <t>S-1</t>
        </is>
      </c>
      <c r="E251" s="22">
        <f>SUMIFS(Movements!$D$2:$D$20000,Movements!$B$2:$B$20000,$A251,Movements!$C$2:$C$20000,"RECEIPT")+SUMIFS(Movements!$D$2:$D$20000,Movements!$B$2:$B$20000,$A251,Movements!$C$2:$C$20000,"RETURN")+SUMIFS(Movements!$D$2:$D$20000,Movements!$B$2:$B$20000,$A251,Movements!$C$2:$C$20000,"ADJUST+")-SUMIFS(Movements!$D$2:$D$20000,Movements!$B$2:$B$20000,$A251,Movements!$C$2:$C$20000,"ISSUE")-SUMIFS(Movements!$D$2:$D$20000,Movements!$B$2:$B$20000,$A251,Movements!$C$2:$C$20000,"SCRAP")-SUMIFS(Movements!$D$2:$D$20000,Movements!$B$2:$B$20000,$A251,Movements!$C$2:$C$20000,"ADJUST-")</f>
        <v/>
      </c>
      <c r="F251" s="16" t="n">
        <v>17</v>
      </c>
      <c r="G251" s="23">
        <f>IF($E251&lt;=0,"OUT OF STOCK",IF(AND($F251&gt;0,$E251&lt;=$F251*0.2),"LOW STOCK","IN STOCK"))</f>
        <v/>
      </c>
    </row>
    <row r="252" ht="15" customHeight="1" s="13">
      <c r="A252" s="16" t="inlineStr">
        <is>
          <t>7214/0016</t>
        </is>
      </c>
      <c r="B252" s="16" t="inlineStr">
        <is>
          <t>4 Way DT06 Wedge</t>
        </is>
      </c>
      <c r="C252" s="16" t="inlineStr">
        <is>
          <t>NO</t>
        </is>
      </c>
      <c r="D252" s="16" t="inlineStr">
        <is>
          <t>L-9</t>
        </is>
      </c>
      <c r="E252" s="22">
        <f>SUMIFS(Movements!$D$2:$D$20000,Movements!$B$2:$B$20000,$A252,Movements!$C$2:$C$20000,"RECEIPT")+SUMIFS(Movements!$D$2:$D$20000,Movements!$B$2:$B$20000,$A252,Movements!$C$2:$C$20000,"RETURN")+SUMIFS(Movements!$D$2:$D$20000,Movements!$B$2:$B$20000,$A252,Movements!$C$2:$C$20000,"ADJUST+")-SUMIFS(Movements!$D$2:$D$20000,Movements!$B$2:$B$20000,$A252,Movements!$C$2:$C$20000,"ISSUE")-SUMIFS(Movements!$D$2:$D$20000,Movements!$B$2:$B$20000,$A252,Movements!$C$2:$C$20000,"SCRAP")-SUMIFS(Movements!$D$2:$D$20000,Movements!$B$2:$B$20000,$A252,Movements!$C$2:$C$20000,"ADJUST-")</f>
        <v/>
      </c>
      <c r="F252" s="16" t="n">
        <v>10</v>
      </c>
      <c r="G252" s="23">
        <f>IF($E252&lt;=0,"OUT OF STOCK",IF(AND($F252&gt;0,$E252&lt;=$F252*0.2),"LOW STOCK","IN STOCK"))</f>
        <v/>
      </c>
    </row>
    <row r="253" ht="15" customHeight="1" s="13">
      <c r="A253" s="16" t="inlineStr">
        <is>
          <t>7213/0043</t>
        </is>
      </c>
      <c r="B253" s="16" t="inlineStr">
        <is>
          <t>3 Way DT06 Wedge CAN J1939</t>
        </is>
      </c>
      <c r="C253" s="16" t="inlineStr">
        <is>
          <t>NO</t>
        </is>
      </c>
      <c r="D253" s="16" t="inlineStr">
        <is>
          <t>l-7</t>
        </is>
      </c>
      <c r="E253" s="22">
        <f>SUMIFS(Movements!$D$2:$D$20000,Movements!$B$2:$B$20000,$A253,Movements!$C$2:$C$20000,"RECEIPT")+SUMIFS(Movements!$D$2:$D$20000,Movements!$B$2:$B$20000,$A253,Movements!$C$2:$C$20000,"RETURN")+SUMIFS(Movements!$D$2:$D$20000,Movements!$B$2:$B$20000,$A253,Movements!$C$2:$C$20000,"ADJUST+")-SUMIFS(Movements!$D$2:$D$20000,Movements!$B$2:$B$20000,$A253,Movements!$C$2:$C$20000,"ISSUE")-SUMIFS(Movements!$D$2:$D$20000,Movements!$B$2:$B$20000,$A253,Movements!$C$2:$C$20000,"SCRAP")-SUMIFS(Movements!$D$2:$D$20000,Movements!$B$2:$B$20000,$A253,Movements!$C$2:$C$20000,"ADJUST-")</f>
        <v/>
      </c>
      <c r="F253" s="16" t="n">
        <v>10</v>
      </c>
      <c r="G253" s="23">
        <f>IF($E253&lt;=0,"OUT OF STOCK",IF(AND($F253&gt;0,$E253&lt;=$F253*0.2),"LOW STOCK","IN STOCK"))</f>
        <v/>
      </c>
    </row>
    <row r="254" ht="15" customHeight="1" s="13">
      <c r="A254" s="16" t="inlineStr">
        <is>
          <t>7201/0466</t>
        </is>
      </c>
      <c r="B254" s="16" t="inlineStr">
        <is>
          <t>6.3 Fem Pos Lock 0.5-1.0</t>
        </is>
      </c>
      <c r="C254" s="16" t="inlineStr">
        <is>
          <t>NO</t>
        </is>
      </c>
      <c r="D254" s="16" t="inlineStr">
        <is>
          <t>M-5</t>
        </is>
      </c>
      <c r="E254" s="22">
        <f>SUMIFS(Movements!$D$2:$D$20000,Movements!$B$2:$B$20000,$A254,Movements!$C$2:$C$20000,"RECEIPT")+SUMIFS(Movements!$D$2:$D$20000,Movements!$B$2:$B$20000,$A254,Movements!$C$2:$C$20000,"RETURN")+SUMIFS(Movements!$D$2:$D$20000,Movements!$B$2:$B$20000,$A254,Movements!$C$2:$C$20000,"ADJUST+")-SUMIFS(Movements!$D$2:$D$20000,Movements!$B$2:$B$20000,$A254,Movements!$C$2:$C$20000,"ISSUE")-SUMIFS(Movements!$D$2:$D$20000,Movements!$B$2:$B$20000,$A254,Movements!$C$2:$C$20000,"SCRAP")-SUMIFS(Movements!$D$2:$D$20000,Movements!$B$2:$B$20000,$A254,Movements!$C$2:$C$20000,"ADJUST-")</f>
        <v/>
      </c>
      <c r="F254" s="16" t="n">
        <v>100</v>
      </c>
      <c r="G254" s="23">
        <f>IF($E254&lt;=0,"OUT OF STOCK",IF(AND($F254&gt;0,$E254&lt;=$F254*0.2),"LOW STOCK","IN STOCK"))</f>
        <v/>
      </c>
    </row>
    <row r="255" ht="15" customHeight="1" s="13">
      <c r="A255" s="16" t="inlineStr">
        <is>
          <t>7201/0016</t>
        </is>
      </c>
      <c r="B255" s="16" t="inlineStr">
        <is>
          <t>0.50-1.00mm² Junior Timer Terminal</t>
        </is>
      </c>
      <c r="C255" s="16" t="inlineStr">
        <is>
          <t>NO</t>
        </is>
      </c>
      <c r="D255" s="16" t="inlineStr">
        <is>
          <t>L-8</t>
        </is>
      </c>
      <c r="E255" s="22">
        <f>SUMIFS(Movements!$D$2:$D$20000,Movements!$B$2:$B$20000,$A255,Movements!$C$2:$C$20000,"RECEIPT")+SUMIFS(Movements!$D$2:$D$20000,Movements!$B$2:$B$20000,$A255,Movements!$C$2:$C$20000,"RETURN")+SUMIFS(Movements!$D$2:$D$20000,Movements!$B$2:$B$20000,$A255,Movements!$C$2:$C$20000,"ADJUST+")-SUMIFS(Movements!$D$2:$D$20000,Movements!$B$2:$B$20000,$A255,Movements!$C$2:$C$20000,"ISSUE")-SUMIFS(Movements!$D$2:$D$20000,Movements!$B$2:$B$20000,$A255,Movements!$C$2:$C$20000,"SCRAP")-SUMIFS(Movements!$D$2:$D$20000,Movements!$B$2:$B$20000,$A255,Movements!$C$2:$C$20000,"ADJUST-")</f>
        <v/>
      </c>
      <c r="F255" s="16" t="n">
        <v>50</v>
      </c>
      <c r="G255" s="23">
        <f>IF($E255&lt;=0,"OUT OF STOCK",IF(AND($F255&gt;0,$E255&lt;=$F255*0.2),"LOW STOCK","IN STOCK"))</f>
        <v/>
      </c>
    </row>
    <row r="256" ht="15" customHeight="1" s="13">
      <c r="A256" s="16" t="inlineStr">
        <is>
          <t>7201/0104</t>
        </is>
      </c>
      <c r="B256" s="16" t="inlineStr">
        <is>
          <t>2.00-4.00mm² Size 12 Socket Terminal</t>
        </is>
      </c>
      <c r="C256" s="16" t="inlineStr">
        <is>
          <t>NO</t>
        </is>
      </c>
      <c r="D256" s="16" t="inlineStr">
        <is>
          <t>D3-1</t>
        </is>
      </c>
      <c r="E256" s="22">
        <f>SUMIFS(Movements!$D$2:$D$20000,Movements!$B$2:$B$20000,$A256,Movements!$C$2:$C$20000,"RECEIPT")+SUMIFS(Movements!$D$2:$D$20000,Movements!$B$2:$B$20000,$A256,Movements!$C$2:$C$20000,"RETURN")+SUMIFS(Movements!$D$2:$D$20000,Movements!$B$2:$B$20000,$A256,Movements!$C$2:$C$20000,"ADJUST+")-SUMIFS(Movements!$D$2:$D$20000,Movements!$B$2:$B$20000,$A256,Movements!$C$2:$C$20000,"ISSUE")-SUMIFS(Movements!$D$2:$D$20000,Movements!$B$2:$B$20000,$A256,Movements!$C$2:$C$20000,"SCRAP")-SUMIFS(Movements!$D$2:$D$20000,Movements!$B$2:$B$20000,$A256,Movements!$C$2:$C$20000,"ADJUST-")</f>
        <v/>
      </c>
      <c r="F256" s="16" t="n">
        <v>50</v>
      </c>
      <c r="G256" s="23">
        <f>IF($E256&lt;=0,"OUT OF STOCK",IF(AND($F256&gt;0,$E256&lt;=$F256*0.2),"LOW STOCK","IN STOCK"))</f>
        <v/>
      </c>
    </row>
    <row r="257" ht="15" customHeight="1" s="13">
      <c r="A257" s="16" t="inlineStr">
        <is>
          <t>7213/0016</t>
        </is>
      </c>
      <c r="B257" s="16" t="inlineStr">
        <is>
          <t>3 Way DT06 Wedge</t>
        </is>
      </c>
      <c r="C257" s="16" t="inlineStr">
        <is>
          <t>NO</t>
        </is>
      </c>
      <c r="D257" s="16" t="inlineStr">
        <is>
          <t>L-9</t>
        </is>
      </c>
      <c r="E257" s="22">
        <f>SUMIFS(Movements!$D$2:$D$20000,Movements!$B$2:$B$20000,$A257,Movements!$C$2:$C$20000,"RECEIPT")+SUMIFS(Movements!$D$2:$D$20000,Movements!$B$2:$B$20000,$A257,Movements!$C$2:$C$20000,"RETURN")+SUMIFS(Movements!$D$2:$D$20000,Movements!$B$2:$B$20000,$A257,Movements!$C$2:$C$20000,"ADJUST+")-SUMIFS(Movements!$D$2:$D$20000,Movements!$B$2:$B$20000,$A257,Movements!$C$2:$C$20000,"ISSUE")-SUMIFS(Movements!$D$2:$D$20000,Movements!$B$2:$B$20000,$A257,Movements!$C$2:$C$20000,"SCRAP")-SUMIFS(Movements!$D$2:$D$20000,Movements!$B$2:$B$20000,$A257,Movements!$C$2:$C$20000,"ADJUST-")</f>
        <v/>
      </c>
      <c r="F257" s="16" t="n">
        <v>10</v>
      </c>
      <c r="G257" s="23">
        <f>IF($E257&lt;=0,"OUT OF STOCK",IF(AND($F257&gt;0,$E257&lt;=$F257*0.2),"LOW STOCK","IN STOCK"))</f>
        <v/>
      </c>
    </row>
    <row r="258" ht="15" customHeight="1" s="13">
      <c r="A258" s="16" t="inlineStr">
        <is>
          <t>7210/0088</t>
        </is>
      </c>
      <c r="B258" s="16" t="inlineStr">
        <is>
          <t>Wire Seal 1.90-2.40mm MICRO TIMER Yellow</t>
        </is>
      </c>
      <c r="C258" s="16" t="inlineStr">
        <is>
          <t>NO</t>
        </is>
      </c>
      <c r="D258" s="16" t="inlineStr">
        <is>
          <t>seal box</t>
        </is>
      </c>
      <c r="E258" s="22">
        <f>SUMIFS(Movements!$D$2:$D$20000,Movements!$B$2:$B$20000,$A258,Movements!$C$2:$C$20000,"RECEIPT")+SUMIFS(Movements!$D$2:$D$20000,Movements!$B$2:$B$20000,$A258,Movements!$C$2:$C$20000,"RETURN")+SUMIFS(Movements!$D$2:$D$20000,Movements!$B$2:$B$20000,$A258,Movements!$C$2:$C$20000,"ADJUST+")-SUMIFS(Movements!$D$2:$D$20000,Movements!$B$2:$B$20000,$A258,Movements!$C$2:$C$20000,"ISSUE")-SUMIFS(Movements!$D$2:$D$20000,Movements!$B$2:$B$20000,$A258,Movements!$C$2:$C$20000,"SCRAP")-SUMIFS(Movements!$D$2:$D$20000,Movements!$B$2:$B$20000,$A258,Movements!$C$2:$C$20000,"ADJUST-")</f>
        <v/>
      </c>
      <c r="F258" s="16" t="n">
        <v>10</v>
      </c>
      <c r="G258" s="23">
        <f>IF($E258&lt;=0,"OUT OF STOCK",IF(AND($F258&gt;0,$E258&lt;=$F258*0.2),"LOW STOCK","IN STOCK"))</f>
        <v/>
      </c>
    </row>
    <row r="259" ht="15" customHeight="1" s="13">
      <c r="A259" s="16" t="inlineStr">
        <is>
          <t>7201/1032</t>
        </is>
      </c>
      <c r="B259" s="16" t="inlineStr">
        <is>
          <t>0.50-1.00mm2 MCP 2.8 SKT TERM SILVER</t>
        </is>
      </c>
      <c r="C259" s="16" t="inlineStr">
        <is>
          <t>NO</t>
        </is>
      </c>
      <c r="D259" s="16" t="inlineStr">
        <is>
          <t>L-7</t>
        </is>
      </c>
      <c r="E259" s="22">
        <f>SUMIFS(Movements!$D$2:$D$20000,Movements!$B$2:$B$20000,$A259,Movements!$C$2:$C$20000,"RECEIPT")+SUMIFS(Movements!$D$2:$D$20000,Movements!$B$2:$B$20000,$A259,Movements!$C$2:$C$20000,"RETURN")+SUMIFS(Movements!$D$2:$D$20000,Movements!$B$2:$B$20000,$A259,Movements!$C$2:$C$20000,"ADJUST+")-SUMIFS(Movements!$D$2:$D$20000,Movements!$B$2:$B$20000,$A259,Movements!$C$2:$C$20000,"ISSUE")-SUMIFS(Movements!$D$2:$D$20000,Movements!$B$2:$B$20000,$A259,Movements!$C$2:$C$20000,"SCRAP")-SUMIFS(Movements!$D$2:$D$20000,Movements!$B$2:$B$20000,$A259,Movements!$C$2:$C$20000,"ADJUST-")</f>
        <v/>
      </c>
      <c r="F259" s="16" t="n">
        <v>70</v>
      </c>
      <c r="G259" s="23">
        <f>IF($E259&lt;=0,"OUT OF STOCK",IF(AND($F259&gt;0,$E259&lt;=$F259*0.2),"LOW STOCK","IN STOCK"))</f>
        <v/>
      </c>
    </row>
    <row r="260" ht="15" customHeight="1" s="13">
      <c r="A260" s="16" t="inlineStr">
        <is>
          <t>7201/0724</t>
        </is>
      </c>
      <c r="B260" s="16" t="inlineStr">
        <is>
          <t>0.5-0.75 GET 0.64 FEM TERM TIN</t>
        </is>
      </c>
      <c r="C260" s="16" t="inlineStr">
        <is>
          <t>NO</t>
        </is>
      </c>
      <c r="D260" s="16" t="inlineStr">
        <is>
          <t>M-5</t>
        </is>
      </c>
      <c r="E260" s="22">
        <f>SUMIFS(Movements!$D$2:$D$20000,Movements!$B$2:$B$20000,$A260,Movements!$C$2:$C$20000,"RECEIPT")+SUMIFS(Movements!$D$2:$D$20000,Movements!$B$2:$B$20000,$A260,Movements!$C$2:$C$20000,"RETURN")+SUMIFS(Movements!$D$2:$D$20000,Movements!$B$2:$B$20000,$A260,Movements!$C$2:$C$20000,"ADJUST+")-SUMIFS(Movements!$D$2:$D$20000,Movements!$B$2:$B$20000,$A260,Movements!$C$2:$C$20000,"ISSUE")-SUMIFS(Movements!$D$2:$D$20000,Movements!$B$2:$B$20000,$A260,Movements!$C$2:$C$20000,"SCRAP")-SUMIFS(Movements!$D$2:$D$20000,Movements!$B$2:$B$20000,$A260,Movements!$C$2:$C$20000,"ADJUST-")</f>
        <v/>
      </c>
      <c r="F260" s="16" t="n">
        <v>70</v>
      </c>
      <c r="G260" s="23">
        <f>IF($E260&lt;=0,"OUT OF STOCK",IF(AND($F260&gt;0,$E260&lt;=$F260*0.2),"LOW STOCK","IN STOCK"))</f>
        <v/>
      </c>
    </row>
    <row r="261" ht="15" customHeight="1" s="13">
      <c r="A261" s="16" t="inlineStr">
        <is>
          <t>7210/0330</t>
        </is>
      </c>
      <c r="B261" s="16" t="inlineStr">
        <is>
          <t>Wire Seal 1.2-1.6mm Microtimer II Red</t>
        </is>
      </c>
      <c r="C261" s="16" t="inlineStr">
        <is>
          <t>NO</t>
        </is>
      </c>
      <c r="D261" s="16" t="inlineStr">
        <is>
          <t>seal box</t>
        </is>
      </c>
      <c r="E261" s="22">
        <f>SUMIFS(Movements!$D$2:$D$20000,Movements!$B$2:$B$20000,$A261,Movements!$C$2:$C$20000,"RECEIPT")+SUMIFS(Movements!$D$2:$D$20000,Movements!$B$2:$B$20000,$A261,Movements!$C$2:$C$20000,"RETURN")+SUMIFS(Movements!$D$2:$D$20000,Movements!$B$2:$B$20000,$A261,Movements!$C$2:$C$20000,"ADJUST+")-SUMIFS(Movements!$D$2:$D$20000,Movements!$B$2:$B$20000,$A261,Movements!$C$2:$C$20000,"ISSUE")-SUMIFS(Movements!$D$2:$D$20000,Movements!$B$2:$B$20000,$A261,Movements!$C$2:$C$20000,"SCRAP")-SUMIFS(Movements!$D$2:$D$20000,Movements!$B$2:$B$20000,$A261,Movements!$C$2:$C$20000,"ADJUST-")</f>
        <v/>
      </c>
      <c r="F261" s="16" t="n">
        <v>10</v>
      </c>
      <c r="G261" s="23">
        <f>IF($E261&lt;=0,"OUT OF STOCK",IF(AND($F261&gt;0,$E261&lt;=$F261*0.2),"LOW STOCK","IN STOCK"))</f>
        <v/>
      </c>
    </row>
    <row r="262" ht="15" customHeight="1" s="13">
      <c r="A262" s="16" t="inlineStr">
        <is>
          <t>7204/0113</t>
        </is>
      </c>
      <c r="B262" s="16" t="inlineStr">
        <is>
          <t>0.50-1.00mm² JPT MALE TERM 2.8K</t>
        </is>
      </c>
      <c r="C262" s="16" t="inlineStr">
        <is>
          <t>NO</t>
        </is>
      </c>
      <c r="D262" s="16" t="inlineStr">
        <is>
          <t>D2-1</t>
        </is>
      </c>
      <c r="E262" s="22">
        <f>SUMIFS(Movements!$D$2:$D$20000,Movements!$B$2:$B$20000,$A262,Movements!$C$2:$C$20000,"RECEIPT")+SUMIFS(Movements!$D$2:$D$20000,Movements!$B$2:$B$20000,$A262,Movements!$C$2:$C$20000,"RETURN")+SUMIFS(Movements!$D$2:$D$20000,Movements!$B$2:$B$20000,$A262,Movements!$C$2:$C$20000,"ADJUST+")-SUMIFS(Movements!$D$2:$D$20000,Movements!$B$2:$B$20000,$A262,Movements!$C$2:$C$20000,"ISSUE")-SUMIFS(Movements!$D$2:$D$20000,Movements!$B$2:$B$20000,$A262,Movements!$C$2:$C$20000,"SCRAP")-SUMIFS(Movements!$D$2:$D$20000,Movements!$B$2:$B$20000,$A262,Movements!$C$2:$C$20000,"ADJUST-")</f>
        <v/>
      </c>
      <c r="F262" s="16" t="n">
        <v>100</v>
      </c>
      <c r="G262" s="23">
        <f>IF($E262&lt;=0,"OUT OF STOCK",IF(AND($F262&gt;0,$E262&lt;=$F262*0.2),"LOW STOCK","IN STOCK"))</f>
        <v/>
      </c>
    </row>
    <row r="263" ht="15" customHeight="1" s="13">
      <c r="A263" s="16" t="inlineStr">
        <is>
          <t>7204/0114</t>
        </is>
      </c>
      <c r="B263" s="16" t="inlineStr">
        <is>
          <t>1.00-2.50mm² JPT MALE TERM 2.8</t>
        </is>
      </c>
      <c r="C263" s="16" t="inlineStr">
        <is>
          <t>NO</t>
        </is>
      </c>
      <c r="D263" s="16" t="inlineStr">
        <is>
          <t>L-8</t>
        </is>
      </c>
      <c r="E263" s="22">
        <f>SUMIFS(Movements!$D$2:$D$20000,Movements!$B$2:$B$20000,$A263,Movements!$C$2:$C$20000,"RECEIPT")+SUMIFS(Movements!$D$2:$D$20000,Movements!$B$2:$B$20000,$A263,Movements!$C$2:$C$20000,"RETURN")+SUMIFS(Movements!$D$2:$D$20000,Movements!$B$2:$B$20000,$A263,Movements!$C$2:$C$20000,"ADJUST+")-SUMIFS(Movements!$D$2:$D$20000,Movements!$B$2:$B$20000,$A263,Movements!$C$2:$C$20000,"ISSUE")-SUMIFS(Movements!$D$2:$D$20000,Movements!$B$2:$B$20000,$A263,Movements!$C$2:$C$20000,"SCRAP")-SUMIFS(Movements!$D$2:$D$20000,Movements!$B$2:$B$20000,$A263,Movements!$C$2:$C$20000,"ADJUST-")</f>
        <v/>
      </c>
      <c r="F263" s="16" t="n">
        <v>70</v>
      </c>
      <c r="G263" s="23">
        <f>IF($E263&lt;=0,"OUT OF STOCK",IF(AND($F263&gt;0,$E263&lt;=$F263*0.2),"LOW STOCK","IN STOCK"))</f>
        <v/>
      </c>
    </row>
    <row r="264" ht="15" customHeight="1" s="13">
      <c r="A264" s="16" t="inlineStr">
        <is>
          <t>7201/1132</t>
        </is>
      </c>
      <c r="B264" s="16" t="inlineStr">
        <is>
          <t>0.5-0.75mm2 MCON 1.2 SKT Term</t>
        </is>
      </c>
      <c r="C264" s="16" t="inlineStr">
        <is>
          <t>NO</t>
        </is>
      </c>
      <c r="D264" s="16" t="inlineStr">
        <is>
          <t>L-6</t>
        </is>
      </c>
      <c r="E264" s="22">
        <f>SUMIFS(Movements!$D$2:$D$20000,Movements!$B$2:$B$20000,$A264,Movements!$C$2:$C$20000,"RECEIPT")+SUMIFS(Movements!$D$2:$D$20000,Movements!$B$2:$B$20000,$A264,Movements!$C$2:$C$20000,"RETURN")+SUMIFS(Movements!$D$2:$D$20000,Movements!$B$2:$B$20000,$A264,Movements!$C$2:$C$20000,"ADJUST+")-SUMIFS(Movements!$D$2:$D$20000,Movements!$B$2:$B$20000,$A264,Movements!$C$2:$C$20000,"ISSUE")-SUMIFS(Movements!$D$2:$D$20000,Movements!$B$2:$B$20000,$A264,Movements!$C$2:$C$20000,"SCRAP")-SUMIFS(Movements!$D$2:$D$20000,Movements!$B$2:$B$20000,$A264,Movements!$C$2:$C$20000,"ADJUST-")</f>
        <v/>
      </c>
      <c r="F264" s="16" t="n">
        <v>100</v>
      </c>
      <c r="G264" s="23">
        <f>IF($E264&lt;=0,"OUT OF STOCK",IF(AND($F264&gt;0,$E264&lt;=$F264*0.2),"LOW STOCK","IN STOCK"))</f>
        <v/>
      </c>
    </row>
    <row r="265" ht="15" customHeight="1" s="13">
      <c r="A265" s="16" t="inlineStr">
        <is>
          <t>7210/0241</t>
        </is>
      </c>
      <c r="B265" s="16" t="inlineStr">
        <is>
          <t>Cavity Plug MCP 6.3 4.8K Clear</t>
        </is>
      </c>
      <c r="C265" s="16" t="inlineStr">
        <is>
          <t>NO</t>
        </is>
      </c>
      <c r="D265" s="16" t="inlineStr">
        <is>
          <t>seal box</t>
        </is>
      </c>
      <c r="E265" s="22">
        <f>SUMIFS(Movements!$D$2:$D$20000,Movements!$B$2:$B$20000,$A265,Movements!$C$2:$C$20000,"RECEIPT")+SUMIFS(Movements!$D$2:$D$20000,Movements!$B$2:$B$20000,$A265,Movements!$C$2:$C$20000,"RETURN")+SUMIFS(Movements!$D$2:$D$20000,Movements!$B$2:$B$20000,$A265,Movements!$C$2:$C$20000,"ADJUST+")-SUMIFS(Movements!$D$2:$D$20000,Movements!$B$2:$B$20000,$A265,Movements!$C$2:$C$20000,"ISSUE")-SUMIFS(Movements!$D$2:$D$20000,Movements!$B$2:$B$20000,$A265,Movements!$C$2:$C$20000,"SCRAP")-SUMIFS(Movements!$D$2:$D$20000,Movements!$B$2:$B$20000,$A265,Movements!$C$2:$C$20000,"ADJUST-")</f>
        <v/>
      </c>
      <c r="F265" s="16" t="n">
        <v>10</v>
      </c>
      <c r="G265" s="23">
        <f>IF($E265&lt;=0,"OUT OF STOCK",IF(AND($F265&gt;0,$E265&lt;=$F265*0.2),"LOW STOCK","IN STOCK"))</f>
        <v/>
      </c>
    </row>
    <row r="266" ht="15" customHeight="1" s="13">
      <c r="A266" s="16" t="inlineStr">
        <is>
          <t>7201/0746</t>
        </is>
      </c>
      <c r="B266" s="16" t="inlineStr">
        <is>
          <t>0.50-1.00mm² MCON 2.8 SKT TERM Tin</t>
        </is>
      </c>
      <c r="C266" s="16" t="inlineStr">
        <is>
          <t>NO</t>
        </is>
      </c>
      <c r="D266" s="16" t="inlineStr">
        <is>
          <t>D3-2</t>
        </is>
      </c>
      <c r="E266" s="22">
        <f>SUMIFS(Movements!$D$2:$D$20000,Movements!$B$2:$B$20000,$A266,Movements!$C$2:$C$20000,"RECEIPT")+SUMIFS(Movements!$D$2:$D$20000,Movements!$B$2:$B$20000,$A266,Movements!$C$2:$C$20000,"RETURN")+SUMIFS(Movements!$D$2:$D$20000,Movements!$B$2:$B$20000,$A266,Movements!$C$2:$C$20000,"ADJUST+")-SUMIFS(Movements!$D$2:$D$20000,Movements!$B$2:$B$20000,$A266,Movements!$C$2:$C$20000,"ISSUE")-SUMIFS(Movements!$D$2:$D$20000,Movements!$B$2:$B$20000,$A266,Movements!$C$2:$C$20000,"SCRAP")-SUMIFS(Movements!$D$2:$D$20000,Movements!$B$2:$B$20000,$A266,Movements!$C$2:$C$20000,"ADJUST-")</f>
        <v/>
      </c>
      <c r="F266" s="16" t="n">
        <v>100</v>
      </c>
      <c r="G266" s="23">
        <f>IF($E266&lt;=0,"OUT OF STOCK",IF(AND($F266&gt;0,$E266&lt;=$F266*0.2),"LOW STOCK","IN STOCK"))</f>
        <v/>
      </c>
    </row>
    <row r="267" ht="15" customHeight="1" s="13">
      <c r="A267" s="16" t="inlineStr">
        <is>
          <t>403/T6925</t>
        </is>
      </c>
      <c r="B267" s="16" t="inlineStr">
        <is>
          <t>Rubber cap</t>
        </is>
      </c>
      <c r="C267" s="16" t="inlineStr">
        <is>
          <t>NO</t>
        </is>
      </c>
      <c r="D267" s="16" t="inlineStr">
        <is>
          <t>seal box</t>
        </is>
      </c>
      <c r="E267" s="22">
        <f>SUMIFS(Movements!$D$2:$D$20000,Movements!$B$2:$B$20000,$A267,Movements!$C$2:$C$20000,"RECEIPT")+SUMIFS(Movements!$D$2:$D$20000,Movements!$B$2:$B$20000,$A267,Movements!$C$2:$C$20000,"RETURN")+SUMIFS(Movements!$D$2:$D$20000,Movements!$B$2:$B$20000,$A267,Movements!$C$2:$C$20000,"ADJUST+")-SUMIFS(Movements!$D$2:$D$20000,Movements!$B$2:$B$20000,$A267,Movements!$C$2:$C$20000,"ISSUE")-SUMIFS(Movements!$D$2:$D$20000,Movements!$B$2:$B$20000,$A267,Movements!$C$2:$C$20000,"SCRAP")-SUMIFS(Movements!$D$2:$D$20000,Movements!$B$2:$B$20000,$A267,Movements!$C$2:$C$20000,"ADJUST-")</f>
        <v/>
      </c>
      <c r="F267" s="16" t="n">
        <v>11</v>
      </c>
      <c r="G267" s="23">
        <f>IF($E267&lt;=0,"OUT OF STOCK",IF(AND($F267&gt;0,$E267&lt;=$F267*0.2),"LOW STOCK","IN STOCK"))</f>
        <v/>
      </c>
    </row>
    <row r="268" ht="15" customHeight="1" s="13">
      <c r="A268" s="16" t="inlineStr">
        <is>
          <t>7219/0309</t>
        </is>
      </c>
      <c r="B268" s="16" t="inlineStr">
        <is>
          <t>34 Way Superseal SKT Hsg Key 2</t>
        </is>
      </c>
      <c r="C268" s="16" t="inlineStr">
        <is>
          <t>NO</t>
        </is>
      </c>
      <c r="D268" s="16" t="inlineStr">
        <is>
          <t>D2-1</t>
        </is>
      </c>
      <c r="E268" s="22">
        <f>SUMIFS(Movements!$D$2:$D$20000,Movements!$B$2:$B$20000,$A268,Movements!$C$2:$C$20000,"RECEIPT")+SUMIFS(Movements!$D$2:$D$20000,Movements!$B$2:$B$20000,$A268,Movements!$C$2:$C$20000,"RETURN")+SUMIFS(Movements!$D$2:$D$20000,Movements!$B$2:$B$20000,$A268,Movements!$C$2:$C$20000,"ADJUST+")-SUMIFS(Movements!$D$2:$D$20000,Movements!$B$2:$B$20000,$A268,Movements!$C$2:$C$20000,"ISSUE")-SUMIFS(Movements!$D$2:$D$20000,Movements!$B$2:$B$20000,$A268,Movements!$C$2:$C$20000,"SCRAP")-SUMIFS(Movements!$D$2:$D$20000,Movements!$B$2:$B$20000,$A268,Movements!$C$2:$C$20000,"ADJUST-")</f>
        <v/>
      </c>
      <c r="F268" s="16" t="n">
        <v>40</v>
      </c>
      <c r="G268" s="23">
        <f>IF($E268&lt;=0,"OUT OF STOCK",IF(AND($F268&gt;0,$E268&lt;=$F268*0.2),"LOW STOCK","IN STOCK"))</f>
        <v/>
      </c>
    </row>
    <row r="269" ht="15" customHeight="1" s="13">
      <c r="A269" s="16" t="inlineStr">
        <is>
          <t>7219/0075</t>
        </is>
      </c>
      <c r="B269" s="16" t="inlineStr">
        <is>
          <t>62 Way MCP1.5K Socket Housing Black</t>
        </is>
      </c>
      <c r="C269" s="16" t="inlineStr">
        <is>
          <t>NO</t>
        </is>
      </c>
      <c r="D269" s="16" t="inlineStr">
        <is>
          <t>L-16</t>
        </is>
      </c>
      <c r="E269" s="22">
        <f>SUMIFS(Movements!$D$2:$D$20000,Movements!$B$2:$B$20000,$A269,Movements!$C$2:$C$20000,"RECEIPT")+SUMIFS(Movements!$D$2:$D$20000,Movements!$B$2:$B$20000,$A269,Movements!$C$2:$C$20000,"RETURN")+SUMIFS(Movements!$D$2:$D$20000,Movements!$B$2:$B$20000,$A269,Movements!$C$2:$C$20000,"ADJUST+")-SUMIFS(Movements!$D$2:$D$20000,Movements!$B$2:$B$20000,$A269,Movements!$C$2:$C$20000,"ISSUE")-SUMIFS(Movements!$D$2:$D$20000,Movements!$B$2:$B$20000,$A269,Movements!$C$2:$C$20000,"SCRAP")-SUMIFS(Movements!$D$2:$D$20000,Movements!$B$2:$B$20000,$A269,Movements!$C$2:$C$20000,"ADJUST-")</f>
        <v/>
      </c>
      <c r="F269" s="16" t="n">
        <v>10</v>
      </c>
      <c r="G269" s="23">
        <f>IF($E269&lt;=0,"OUT OF STOCK",IF(AND($F269&gt;0,$E269&lt;=$F269*0.2),"LOW STOCK","IN STOCK"))</f>
        <v/>
      </c>
    </row>
    <row r="270" ht="15" customHeight="1" s="13">
      <c r="A270" s="16" t="inlineStr">
        <is>
          <t>7219/0310</t>
        </is>
      </c>
      <c r="B270" s="16" t="inlineStr">
        <is>
          <t>26 Way Superseal 1.0 SKT HSG Key 3</t>
        </is>
      </c>
      <c r="C270" s="16" t="inlineStr">
        <is>
          <t>NO</t>
        </is>
      </c>
      <c r="D270" s="16" t="inlineStr">
        <is>
          <t>L-16</t>
        </is>
      </c>
      <c r="E270" s="22">
        <f>SUMIFS(Movements!$D$2:$D$20000,Movements!$B$2:$B$20000,$A270,Movements!$C$2:$C$20000,"RECEIPT")+SUMIFS(Movements!$D$2:$D$20000,Movements!$B$2:$B$20000,$A270,Movements!$C$2:$C$20000,"RETURN")+SUMIFS(Movements!$D$2:$D$20000,Movements!$B$2:$B$20000,$A270,Movements!$C$2:$C$20000,"ADJUST+")-SUMIFS(Movements!$D$2:$D$20000,Movements!$B$2:$B$20000,$A270,Movements!$C$2:$C$20000,"ISSUE")-SUMIFS(Movements!$D$2:$D$20000,Movements!$B$2:$B$20000,$A270,Movements!$C$2:$C$20000,"SCRAP")-SUMIFS(Movements!$D$2:$D$20000,Movements!$B$2:$B$20000,$A270,Movements!$C$2:$C$20000,"ADJUST-")</f>
        <v/>
      </c>
      <c r="F270" s="16" t="n">
        <v>43</v>
      </c>
      <c r="G270" s="23">
        <f>IF($E270&lt;=0,"OUT OF STOCK",IF(AND($F270&gt;0,$E270&lt;=$F270*0.2),"LOW STOCK","IN STOCK"))</f>
        <v/>
      </c>
    </row>
    <row r="271" ht="15" customHeight="1" s="13">
      <c r="A271" s="16" t="inlineStr">
        <is>
          <t>7231/0015</t>
        </is>
      </c>
      <c r="B271" s="16" t="inlineStr">
        <is>
          <t>1 Way Pos Lock Housing Straight Red</t>
        </is>
      </c>
      <c r="C271" s="16" t="inlineStr">
        <is>
          <t>NO</t>
        </is>
      </c>
      <c r="D271" s="16" t="inlineStr">
        <is>
          <t>S-5</t>
        </is>
      </c>
      <c r="E271" s="22">
        <f>SUMIFS(Movements!$D$2:$D$20000,Movements!$B$2:$B$20000,$A271,Movements!$C$2:$C$20000,"RECEIPT")+SUMIFS(Movements!$D$2:$D$20000,Movements!$B$2:$B$20000,$A271,Movements!$C$2:$C$20000,"RETURN")+SUMIFS(Movements!$D$2:$D$20000,Movements!$B$2:$B$20000,$A271,Movements!$C$2:$C$20000,"ADJUST+")-SUMIFS(Movements!$D$2:$D$20000,Movements!$B$2:$B$20000,$A271,Movements!$C$2:$C$20000,"ISSUE")-SUMIFS(Movements!$D$2:$D$20000,Movements!$B$2:$B$20000,$A271,Movements!$C$2:$C$20000,"SCRAP")-SUMIFS(Movements!$D$2:$D$20000,Movements!$B$2:$B$20000,$A271,Movements!$C$2:$C$20000,"ADJUST-")</f>
        <v/>
      </c>
      <c r="F271" s="16" t="n">
        <v>20</v>
      </c>
      <c r="G271" s="23">
        <f>IF($E271&lt;=0,"OUT OF STOCK",IF(AND($F271&gt;0,$E271&lt;=$F271*0.2),"LOW STOCK","IN STOCK"))</f>
        <v/>
      </c>
    </row>
    <row r="272" ht="15" customHeight="1" s="13">
      <c r="A272" s="16" t="inlineStr">
        <is>
          <t>7212/0203</t>
        </is>
      </c>
      <c r="B272" s="16" t="inlineStr">
        <is>
          <t>2 Way DT06 SKT HSG Snap Cap</t>
        </is>
      </c>
      <c r="C272" s="16" t="inlineStr">
        <is>
          <t>NO</t>
        </is>
      </c>
      <c r="D272" s="16" t="inlineStr">
        <is>
          <t>EMI CUPBOARD</t>
        </is>
      </c>
      <c r="E272" s="22">
        <f>SUMIFS(Movements!$D$2:$D$20000,Movements!$B$2:$B$20000,$A272,Movements!$C$2:$C$20000,"RECEIPT")+SUMIFS(Movements!$D$2:$D$20000,Movements!$B$2:$B$20000,$A272,Movements!$C$2:$C$20000,"RETURN")+SUMIFS(Movements!$D$2:$D$20000,Movements!$B$2:$B$20000,$A272,Movements!$C$2:$C$20000,"ADJUST+")-SUMIFS(Movements!$D$2:$D$20000,Movements!$B$2:$B$20000,$A272,Movements!$C$2:$C$20000,"ISSUE")-SUMIFS(Movements!$D$2:$D$20000,Movements!$B$2:$B$20000,$A272,Movements!$C$2:$C$20000,"SCRAP")-SUMIFS(Movements!$D$2:$D$20000,Movements!$B$2:$B$20000,$A272,Movements!$C$2:$C$20000,"ADJUST-")</f>
        <v/>
      </c>
      <c r="F272" s="16" t="n">
        <v>5</v>
      </c>
      <c r="G272" s="23">
        <f>IF($E272&lt;=0,"OUT OF STOCK",IF(AND($F272&gt;0,$E272&lt;=$F272*0.2),"LOW STOCK","IN STOCK"))</f>
        <v/>
      </c>
    </row>
    <row r="273" ht="15" customHeight="1" s="13">
      <c r="A273" s="16" t="inlineStr">
        <is>
          <t>7219/0271</t>
        </is>
      </c>
      <c r="B273" s="16" t="inlineStr">
        <is>
          <t>47 Way HDP bulkhead pin housing</t>
        </is>
      </c>
      <c r="C273" s="16" t="inlineStr">
        <is>
          <t>NO</t>
        </is>
      </c>
      <c r="D273" s="16" t="inlineStr">
        <is>
          <t>M-3</t>
        </is>
      </c>
      <c r="E273" s="22">
        <f>SUMIFS(Movements!$D$2:$D$20000,Movements!$B$2:$B$20000,$A273,Movements!$C$2:$C$20000,"RECEIPT")+SUMIFS(Movements!$D$2:$D$20000,Movements!$B$2:$B$20000,$A273,Movements!$C$2:$C$20000,"RETURN")+SUMIFS(Movements!$D$2:$D$20000,Movements!$B$2:$B$20000,$A273,Movements!$C$2:$C$20000,"ADJUST+")-SUMIFS(Movements!$D$2:$D$20000,Movements!$B$2:$B$20000,$A273,Movements!$C$2:$C$20000,"ISSUE")-SUMIFS(Movements!$D$2:$D$20000,Movements!$B$2:$B$20000,$A273,Movements!$C$2:$C$20000,"SCRAP")-SUMIFS(Movements!$D$2:$D$20000,Movements!$B$2:$B$20000,$A273,Movements!$C$2:$C$20000,"ADJUST-")</f>
        <v/>
      </c>
      <c r="F273" s="16" t="n">
        <v>5</v>
      </c>
      <c r="G273" s="23">
        <f>IF($E273&lt;=0,"OUT OF STOCK",IF(AND($F273&gt;0,$E273&lt;=$F273*0.2),"LOW STOCK","IN STOCK"))</f>
        <v/>
      </c>
    </row>
    <row r="274" ht="15" customHeight="1" s="13">
      <c r="A274" s="16" t="inlineStr">
        <is>
          <t>7232/0028</t>
        </is>
      </c>
      <c r="B274" s="16" t="inlineStr">
        <is>
          <t>2 Way Pos Lock Housing T Type</t>
        </is>
      </c>
      <c r="C274" s="16" t="inlineStr">
        <is>
          <t>NO</t>
        </is>
      </c>
      <c r="D274" s="16" t="inlineStr">
        <is>
          <t>L-3</t>
        </is>
      </c>
      <c r="E274" s="22">
        <f>SUMIFS(Movements!$D$2:$D$20000,Movements!$B$2:$B$20000,$A274,Movements!$C$2:$C$20000,"RECEIPT")+SUMIFS(Movements!$D$2:$D$20000,Movements!$B$2:$B$20000,$A274,Movements!$C$2:$C$20000,"RETURN")+SUMIFS(Movements!$D$2:$D$20000,Movements!$B$2:$B$20000,$A274,Movements!$C$2:$C$20000,"ADJUST+")-SUMIFS(Movements!$D$2:$D$20000,Movements!$B$2:$B$20000,$A274,Movements!$C$2:$C$20000,"ISSUE")-SUMIFS(Movements!$D$2:$D$20000,Movements!$B$2:$B$20000,$A274,Movements!$C$2:$C$20000,"SCRAP")-SUMIFS(Movements!$D$2:$D$20000,Movements!$B$2:$B$20000,$A274,Movements!$C$2:$C$20000,"ADJUST-")</f>
        <v/>
      </c>
      <c r="F274" s="16" t="n">
        <v>30</v>
      </c>
      <c r="G274" s="23">
        <f>IF($E274&lt;=0,"OUT OF STOCK",IF(AND($F274&gt;0,$E274&lt;=$F274*0.2),"LOW STOCK","IN STOCK"))</f>
        <v/>
      </c>
    </row>
    <row r="275" ht="15" customHeight="1" s="13">
      <c r="A275" s="16" t="inlineStr">
        <is>
          <t>7219/0403</t>
        </is>
      </c>
      <c r="B275" s="16" t="inlineStr">
        <is>
          <t>36W MTII/JPT HYBRID SEALED CONNECTOR</t>
        </is>
      </c>
      <c r="C275" s="16" t="inlineStr">
        <is>
          <t>NO</t>
        </is>
      </c>
      <c r="D275" s="16" t="inlineStr">
        <is>
          <t>EMC-06</t>
        </is>
      </c>
      <c r="E275" s="22">
        <f>SUMIFS(Movements!$D$2:$D$20000,Movements!$B$2:$B$20000,$A275,Movements!$C$2:$C$20000,"RECEIPT")+SUMIFS(Movements!$D$2:$D$20000,Movements!$B$2:$B$20000,$A275,Movements!$C$2:$C$20000,"RETURN")+SUMIFS(Movements!$D$2:$D$20000,Movements!$B$2:$B$20000,$A275,Movements!$C$2:$C$20000,"ADJUST+")-SUMIFS(Movements!$D$2:$D$20000,Movements!$B$2:$B$20000,$A275,Movements!$C$2:$C$20000,"ISSUE")-SUMIFS(Movements!$D$2:$D$20000,Movements!$B$2:$B$20000,$A275,Movements!$C$2:$C$20000,"SCRAP")-SUMIFS(Movements!$D$2:$D$20000,Movements!$B$2:$B$20000,$A275,Movements!$C$2:$C$20000,"ADJUST-")</f>
        <v/>
      </c>
      <c r="F275" s="16" t="n">
        <v>10</v>
      </c>
      <c r="G275" s="23">
        <f>IF($E275&lt;=0,"OUT OF STOCK",IF(AND($F275&gt;0,$E275&lt;=$F275*0.2),"LOW STOCK","IN STOCK"))</f>
        <v/>
      </c>
    </row>
    <row r="276" ht="15" customHeight="1" s="13">
      <c r="A276" s="16" t="inlineStr">
        <is>
          <t>7216/0018</t>
        </is>
      </c>
      <c r="B276" s="16" t="inlineStr">
        <is>
          <t>6 Way DT06 Socket Housing</t>
        </is>
      </c>
      <c r="C276" s="16" t="inlineStr">
        <is>
          <t>NO</t>
        </is>
      </c>
      <c r="D276" s="16" t="inlineStr">
        <is>
          <t>EMC-06</t>
        </is>
      </c>
      <c r="E276" s="22">
        <f>SUMIFS(Movements!$D$2:$D$20000,Movements!$B$2:$B$20000,$A276,Movements!$C$2:$C$20000,"RECEIPT")+SUMIFS(Movements!$D$2:$D$20000,Movements!$B$2:$B$20000,$A276,Movements!$C$2:$C$20000,"RETURN")+SUMIFS(Movements!$D$2:$D$20000,Movements!$B$2:$B$20000,$A276,Movements!$C$2:$C$20000,"ADJUST+")-SUMIFS(Movements!$D$2:$D$20000,Movements!$B$2:$B$20000,$A276,Movements!$C$2:$C$20000,"ISSUE")-SUMIFS(Movements!$D$2:$D$20000,Movements!$B$2:$B$20000,$A276,Movements!$C$2:$C$20000,"SCRAP")-SUMIFS(Movements!$D$2:$D$20000,Movements!$B$2:$B$20000,$A276,Movements!$C$2:$C$20000,"ADJUST-")</f>
        <v/>
      </c>
      <c r="F276" s="16" t="n">
        <v>65</v>
      </c>
      <c r="G276" s="23">
        <f>IF($E276&lt;=0,"OUT OF STOCK",IF(AND($F276&gt;0,$E276&lt;=$F276*0.2),"LOW STOCK","IN STOCK"))</f>
        <v/>
      </c>
    </row>
    <row r="277" ht="15" customHeight="1" s="13">
      <c r="A277" s="16" t="inlineStr">
        <is>
          <t>7214/0024</t>
        </is>
      </c>
      <c r="B277" s="16" t="inlineStr">
        <is>
          <t>4 Way DT04 Pin Housing</t>
        </is>
      </c>
      <c r="C277" s="16" t="inlineStr">
        <is>
          <t>NO</t>
        </is>
      </c>
      <c r="D277" s="16" t="inlineStr">
        <is>
          <t>L-2</t>
        </is>
      </c>
      <c r="E277" s="22">
        <f>SUMIFS(Movements!$D$2:$D$20000,Movements!$B$2:$B$20000,$A277,Movements!$C$2:$C$20000,"RECEIPT")+SUMIFS(Movements!$D$2:$D$20000,Movements!$B$2:$B$20000,$A277,Movements!$C$2:$C$20000,"RETURN")+SUMIFS(Movements!$D$2:$D$20000,Movements!$B$2:$B$20000,$A277,Movements!$C$2:$C$20000,"ADJUST+")-SUMIFS(Movements!$D$2:$D$20000,Movements!$B$2:$B$20000,$A277,Movements!$C$2:$C$20000,"ISSUE")-SUMIFS(Movements!$D$2:$D$20000,Movements!$B$2:$B$20000,$A277,Movements!$C$2:$C$20000,"SCRAP")-SUMIFS(Movements!$D$2:$D$20000,Movements!$B$2:$B$20000,$A277,Movements!$C$2:$C$20000,"ADJUST-")</f>
        <v/>
      </c>
      <c r="F277" s="16" t="n">
        <v>10</v>
      </c>
      <c r="G277" s="23">
        <f>IF($E277&lt;=0,"OUT OF STOCK",IF(AND($F277&gt;0,$E277&lt;=$F277*0.2),"LOW STOCK","IN STOCK"))</f>
        <v/>
      </c>
    </row>
    <row r="278" ht="15" customHeight="1" s="13">
      <c r="A278" s="16" t="inlineStr">
        <is>
          <t>7219/0169</t>
        </is>
      </c>
      <c r="B278" s="16" t="inlineStr">
        <is>
          <t>12 WAY MCP1.5 SKT HSG KEY A</t>
        </is>
      </c>
      <c r="C278" s="16" t="inlineStr">
        <is>
          <t>NO</t>
        </is>
      </c>
      <c r="D278" s="16" t="inlineStr">
        <is>
          <t>EMC-06</t>
        </is>
      </c>
      <c r="E278" s="22">
        <f>SUMIFS(Movements!$D$2:$D$20000,Movements!$B$2:$B$20000,$A278,Movements!$C$2:$C$20000,"RECEIPT")+SUMIFS(Movements!$D$2:$D$20000,Movements!$B$2:$B$20000,$A278,Movements!$C$2:$C$20000,"RETURN")+SUMIFS(Movements!$D$2:$D$20000,Movements!$B$2:$B$20000,$A278,Movements!$C$2:$C$20000,"ADJUST+")-SUMIFS(Movements!$D$2:$D$20000,Movements!$B$2:$B$20000,$A278,Movements!$C$2:$C$20000,"ISSUE")-SUMIFS(Movements!$D$2:$D$20000,Movements!$B$2:$B$20000,$A278,Movements!$C$2:$C$20000,"SCRAP")-SUMIFS(Movements!$D$2:$D$20000,Movements!$B$2:$B$20000,$A278,Movements!$C$2:$C$20000,"ADJUST-")</f>
        <v/>
      </c>
      <c r="F278" s="16" t="n">
        <v>30</v>
      </c>
      <c r="G278" s="23">
        <f>IF($E278&lt;=0,"OUT OF STOCK",IF(AND($F278&gt;0,$E278&lt;=$F278*0.2),"LOW STOCK","IN STOCK"))</f>
        <v/>
      </c>
    </row>
    <row r="279" ht="15" customHeight="1" s="13">
      <c r="A279" s="16" t="inlineStr">
        <is>
          <t>7219/0012</t>
        </is>
      </c>
      <c r="B279" s="16" t="inlineStr">
        <is>
          <t>12 Way DT06 Wedge</t>
        </is>
      </c>
      <c r="C279" s="16" t="inlineStr">
        <is>
          <t>NO</t>
        </is>
      </c>
      <c r="D279" s="16" t="inlineStr">
        <is>
          <t>D1-3</t>
        </is>
      </c>
      <c r="E279" s="22">
        <f>SUMIFS(Movements!$D$2:$D$20000,Movements!$B$2:$B$20000,$A279,Movements!$C$2:$C$20000,"RECEIPT")+SUMIFS(Movements!$D$2:$D$20000,Movements!$B$2:$B$20000,$A279,Movements!$C$2:$C$20000,"RETURN")+SUMIFS(Movements!$D$2:$D$20000,Movements!$B$2:$B$20000,$A279,Movements!$C$2:$C$20000,"ADJUST+")-SUMIFS(Movements!$D$2:$D$20000,Movements!$B$2:$B$20000,$A279,Movements!$C$2:$C$20000,"ISSUE")-SUMIFS(Movements!$D$2:$D$20000,Movements!$B$2:$B$20000,$A279,Movements!$C$2:$C$20000,"SCRAP")-SUMIFS(Movements!$D$2:$D$20000,Movements!$B$2:$B$20000,$A279,Movements!$C$2:$C$20000,"ADJUST-")</f>
        <v/>
      </c>
      <c r="F279" s="16" t="n">
        <v>23</v>
      </c>
      <c r="G279" s="23">
        <f>IF($E279&lt;=0,"OUT OF STOCK",IF(AND($F279&gt;0,$E279&lt;=$F279*0.2),"LOW STOCK","IN STOCK"))</f>
        <v/>
      </c>
    </row>
    <row r="280" ht="15" customHeight="1" s="13">
      <c r="A280" s="16" t="inlineStr">
        <is>
          <t>7201/0843</t>
        </is>
      </c>
      <c r="B280" s="16" t="inlineStr">
        <is>
          <t>4.00-6.00mm² MCP6.3 4.8K fem term</t>
        </is>
      </c>
      <c r="C280" s="16" t="inlineStr">
        <is>
          <t>NO</t>
        </is>
      </c>
      <c r="D280" s="16" t="inlineStr">
        <is>
          <t>D2-1</t>
        </is>
      </c>
      <c r="E280" s="22">
        <f>SUMIFS(Movements!$D$2:$D$20000,Movements!$B$2:$B$20000,$A280,Movements!$C$2:$C$20000,"RECEIPT")+SUMIFS(Movements!$D$2:$D$20000,Movements!$B$2:$B$20000,$A280,Movements!$C$2:$C$20000,"RETURN")+SUMIFS(Movements!$D$2:$D$20000,Movements!$B$2:$B$20000,$A280,Movements!$C$2:$C$20000,"ADJUST+")-SUMIFS(Movements!$D$2:$D$20000,Movements!$B$2:$B$20000,$A280,Movements!$C$2:$C$20000,"ISSUE")-SUMIFS(Movements!$D$2:$D$20000,Movements!$B$2:$B$20000,$A280,Movements!$C$2:$C$20000,"SCRAP")-SUMIFS(Movements!$D$2:$D$20000,Movements!$B$2:$B$20000,$A280,Movements!$C$2:$C$20000,"ADJUST-")</f>
        <v/>
      </c>
      <c r="F280" s="16" t="n">
        <v>100</v>
      </c>
      <c r="G280" s="23">
        <f>IF($E280&lt;=0,"OUT OF STOCK",IF(AND($F280&gt;0,$E280&lt;=$F280*0.2),"LOW STOCK","IN STOCK"))</f>
        <v/>
      </c>
    </row>
    <row r="281" ht="15" customHeight="1" s="13">
      <c r="A281" s="16" t="inlineStr">
        <is>
          <t>7239/0088</t>
        </is>
      </c>
      <c r="B281" s="16" t="inlineStr">
        <is>
          <t>36 Way MCP1.5K PIN HSG KEY B</t>
        </is>
      </c>
      <c r="C281" s="16" t="inlineStr">
        <is>
          <t>NO</t>
        </is>
      </c>
      <c r="D281" s="16" t="inlineStr">
        <is>
          <t>EMC-06</t>
        </is>
      </c>
      <c r="E281" s="22">
        <f>SUMIFS(Movements!$D$2:$D$20000,Movements!$B$2:$B$20000,$A281,Movements!$C$2:$C$20000,"RECEIPT")+SUMIFS(Movements!$D$2:$D$20000,Movements!$B$2:$B$20000,$A281,Movements!$C$2:$C$20000,"RETURN")+SUMIFS(Movements!$D$2:$D$20000,Movements!$B$2:$B$20000,$A281,Movements!$C$2:$C$20000,"ADJUST+")-SUMIFS(Movements!$D$2:$D$20000,Movements!$B$2:$B$20000,$A281,Movements!$C$2:$C$20000,"ISSUE")-SUMIFS(Movements!$D$2:$D$20000,Movements!$B$2:$B$20000,$A281,Movements!$C$2:$C$20000,"SCRAP")-SUMIFS(Movements!$D$2:$D$20000,Movements!$B$2:$B$20000,$A281,Movements!$C$2:$C$20000,"ADJUST-")</f>
        <v/>
      </c>
      <c r="F281" s="16" t="n">
        <v>20</v>
      </c>
      <c r="G281" s="23">
        <f>IF($E281&lt;=0,"OUT OF STOCK",IF(AND($F281&gt;0,$E281&lt;=$F281*0.2),"LOW STOCK","IN STOCK"))</f>
        <v/>
      </c>
    </row>
    <row r="282" ht="15" customHeight="1" s="13">
      <c r="A282" s="16" t="inlineStr">
        <is>
          <t>7219/0018</t>
        </is>
      </c>
      <c r="B282" s="16" t="inlineStr">
        <is>
          <t>12 Way DTM06 Socket Housing Key A</t>
        </is>
      </c>
      <c r="C282" s="16" t="inlineStr">
        <is>
          <t>NO</t>
        </is>
      </c>
      <c r="D282" s="16" t="inlineStr">
        <is>
          <t>EMC-06</t>
        </is>
      </c>
      <c r="E282" s="22">
        <f>SUMIFS(Movements!$D$2:$D$20000,Movements!$B$2:$B$20000,$A282,Movements!$C$2:$C$20000,"RECEIPT")+SUMIFS(Movements!$D$2:$D$20000,Movements!$B$2:$B$20000,$A282,Movements!$C$2:$C$20000,"RETURN")+SUMIFS(Movements!$D$2:$D$20000,Movements!$B$2:$B$20000,$A282,Movements!$C$2:$C$20000,"ADJUST+")-SUMIFS(Movements!$D$2:$D$20000,Movements!$B$2:$B$20000,$A282,Movements!$C$2:$C$20000,"ISSUE")-SUMIFS(Movements!$D$2:$D$20000,Movements!$B$2:$B$20000,$A282,Movements!$C$2:$C$20000,"SCRAP")-SUMIFS(Movements!$D$2:$D$20000,Movements!$B$2:$B$20000,$A282,Movements!$C$2:$C$20000,"ADJUST-")</f>
        <v/>
      </c>
      <c r="F282" s="16" t="n">
        <v>20</v>
      </c>
      <c r="G282" s="23">
        <f>IF($E282&lt;=0,"OUT OF STOCK",IF(AND($F282&gt;0,$E282&lt;=$F282*0.2),"LOW STOCK","IN STOCK"))</f>
        <v/>
      </c>
    </row>
    <row r="283" ht="15" customHeight="1" s="13">
      <c r="A283" s="16" t="inlineStr">
        <is>
          <t>7216/0060</t>
        </is>
      </c>
      <c r="B283" s="16" t="inlineStr">
        <is>
          <t>6 Way GET064 SKT HSG KEY B W/CPA (POS 1&amp;6 Blocked)</t>
        </is>
      </c>
      <c r="C283" s="16" t="inlineStr">
        <is>
          <t>NO</t>
        </is>
      </c>
      <c r="D283" s="16" t="inlineStr">
        <is>
          <t>EMC-06</t>
        </is>
      </c>
      <c r="E283" s="22">
        <f>SUMIFS(Movements!$D$2:$D$20000,Movements!$B$2:$B$20000,$A283,Movements!$C$2:$C$20000,"RECEIPT")+SUMIFS(Movements!$D$2:$D$20000,Movements!$B$2:$B$20000,$A283,Movements!$C$2:$C$20000,"RETURN")+SUMIFS(Movements!$D$2:$D$20000,Movements!$B$2:$B$20000,$A283,Movements!$C$2:$C$20000,"ADJUST+")-SUMIFS(Movements!$D$2:$D$20000,Movements!$B$2:$B$20000,$A283,Movements!$C$2:$C$20000,"ISSUE")-SUMIFS(Movements!$D$2:$D$20000,Movements!$B$2:$B$20000,$A283,Movements!$C$2:$C$20000,"SCRAP")-SUMIFS(Movements!$D$2:$D$20000,Movements!$B$2:$B$20000,$A283,Movements!$C$2:$C$20000,"ADJUST-")</f>
        <v/>
      </c>
      <c r="F283" s="16" t="n">
        <v>10</v>
      </c>
      <c r="G283" s="23">
        <f>IF($E283&lt;=0,"OUT OF STOCK",IF(AND($F283&gt;0,$E283&lt;=$F283*0.2),"LOW STOCK","IN STOCK"))</f>
        <v/>
      </c>
    </row>
    <row r="284" ht="15" customHeight="1" s="13">
      <c r="A284" s="16" t="inlineStr">
        <is>
          <t>7210/0017</t>
        </is>
      </c>
      <c r="B284" s="16" t="inlineStr">
        <is>
          <t>Cavity Plug JPT Natural</t>
        </is>
      </c>
      <c r="C284" s="16" t="inlineStr">
        <is>
          <t>NO</t>
        </is>
      </c>
      <c r="D284" s="16" t="inlineStr">
        <is>
          <t>seal box</t>
        </is>
      </c>
      <c r="E284" s="22">
        <f>SUMIFS(Movements!$D$2:$D$20000,Movements!$B$2:$B$20000,$A284,Movements!$C$2:$C$20000,"RECEIPT")+SUMIFS(Movements!$D$2:$D$20000,Movements!$B$2:$B$20000,$A284,Movements!$C$2:$C$20000,"RETURN")+SUMIFS(Movements!$D$2:$D$20000,Movements!$B$2:$B$20000,$A284,Movements!$C$2:$C$20000,"ADJUST+")-SUMIFS(Movements!$D$2:$D$20000,Movements!$B$2:$B$20000,$A284,Movements!$C$2:$C$20000,"ISSUE")-SUMIFS(Movements!$D$2:$D$20000,Movements!$B$2:$B$20000,$A284,Movements!$C$2:$C$20000,"SCRAP")-SUMIFS(Movements!$D$2:$D$20000,Movements!$B$2:$B$20000,$A284,Movements!$C$2:$C$20000,"ADJUST-")</f>
        <v/>
      </c>
      <c r="F284" s="16" t="n">
        <v>100</v>
      </c>
      <c r="G284" s="23">
        <f>IF($E284&lt;=0,"OUT OF STOCK",IF(AND($F284&gt;0,$E284&lt;=$F284*0.2),"LOW STOCK","IN STOCK"))</f>
        <v/>
      </c>
    </row>
    <row r="285" ht="15" customHeight="1" s="13">
      <c r="A285" s="16" t="inlineStr">
        <is>
          <t>P_SP_ELEC_GEN_171</t>
        </is>
      </c>
      <c r="B285" s="16" t="inlineStr">
        <is>
          <t>TVS DIODE BIDIRECTIONAL (THROUGH HOLE) 5V</t>
        </is>
      </c>
      <c r="C285" s="16" t="inlineStr">
        <is>
          <t>NO</t>
        </is>
      </c>
      <c r="D285" s="16" t="inlineStr">
        <is>
          <t>HANDOVER TO VASANT DATE</t>
        </is>
      </c>
      <c r="E285" s="22">
        <f>SUMIFS(Movements!$D$2:$D$20000,Movements!$B$2:$B$20000,$A285,Movements!$C$2:$C$20000,"RECEIPT")+SUMIFS(Movements!$D$2:$D$20000,Movements!$B$2:$B$20000,$A285,Movements!$C$2:$C$20000,"RETURN")+SUMIFS(Movements!$D$2:$D$20000,Movements!$B$2:$B$20000,$A285,Movements!$C$2:$C$20000,"ADJUST+")-SUMIFS(Movements!$D$2:$D$20000,Movements!$B$2:$B$20000,$A285,Movements!$C$2:$C$20000,"ISSUE")-SUMIFS(Movements!$D$2:$D$20000,Movements!$B$2:$B$20000,$A285,Movements!$C$2:$C$20000,"SCRAP")-SUMIFS(Movements!$D$2:$D$20000,Movements!$B$2:$B$20000,$A285,Movements!$C$2:$C$20000,"ADJUST-")</f>
        <v/>
      </c>
      <c r="F285" s="16" t="n">
        <v>25</v>
      </c>
      <c r="G285" s="23">
        <f>IF($E285&lt;=0,"OUT OF STOCK",IF(AND($F285&gt;0,$E285&lt;=$F285*0.2),"LOW STOCK","IN STOCK"))</f>
        <v/>
      </c>
    </row>
    <row r="286" ht="15" customHeight="1" s="13">
      <c r="A286" s="16" t="inlineStr">
        <is>
          <t>332/N1497</t>
        </is>
      </c>
      <c r="B286" s="16" t="inlineStr">
        <is>
          <t>0.50mm² Fem Term Superseal 1.0 Gold</t>
        </is>
      </c>
      <c r="C286" s="16" t="inlineStr">
        <is>
          <t>NO</t>
        </is>
      </c>
      <c r="D286" s="16" t="inlineStr">
        <is>
          <t>L-1</t>
        </is>
      </c>
      <c r="E286" s="22">
        <f>SUMIFS(Movements!$D$2:$D$20000,Movements!$B$2:$B$20000,$A286,Movements!$C$2:$C$20000,"RECEIPT")+SUMIFS(Movements!$D$2:$D$20000,Movements!$B$2:$B$20000,$A286,Movements!$C$2:$C$20000,"RETURN")+SUMIFS(Movements!$D$2:$D$20000,Movements!$B$2:$B$20000,$A286,Movements!$C$2:$C$20000,"ADJUST+")-SUMIFS(Movements!$D$2:$D$20000,Movements!$B$2:$B$20000,$A286,Movements!$C$2:$C$20000,"ISSUE")-SUMIFS(Movements!$D$2:$D$20000,Movements!$B$2:$B$20000,$A286,Movements!$C$2:$C$20000,"SCRAP")-SUMIFS(Movements!$D$2:$D$20000,Movements!$B$2:$B$20000,$A286,Movements!$C$2:$C$20000,"ADJUST-")</f>
        <v/>
      </c>
      <c r="F286" s="16" t="n">
        <v>300</v>
      </c>
      <c r="G286" s="23">
        <f>IF($E286&lt;=0,"OUT OF STOCK",IF(AND($F286&gt;0,$E286&lt;=$F286*0.2),"LOW STOCK","IN STOCK"))</f>
        <v/>
      </c>
    </row>
    <row r="287" ht="15" customHeight="1" s="13">
      <c r="A287" s="16" t="inlineStr">
        <is>
          <t>7239/0087</t>
        </is>
      </c>
      <c r="B287" s="16" t="inlineStr">
        <is>
          <t>9 WAY AMP MCP 1.5K SKT (P19-27)</t>
        </is>
      </c>
      <c r="C287" s="16" t="inlineStr">
        <is>
          <t>NO</t>
        </is>
      </c>
      <c r="D287" s="16" t="inlineStr">
        <is>
          <t>L-3</t>
        </is>
      </c>
      <c r="E287" s="22">
        <f>SUMIFS(Movements!$D$2:$D$20000,Movements!$B$2:$B$20000,$A287,Movements!$C$2:$C$20000,"RECEIPT")+SUMIFS(Movements!$D$2:$D$20000,Movements!$B$2:$B$20000,$A287,Movements!$C$2:$C$20000,"RETURN")+SUMIFS(Movements!$D$2:$D$20000,Movements!$B$2:$B$20000,$A287,Movements!$C$2:$C$20000,"ADJUST+")-SUMIFS(Movements!$D$2:$D$20000,Movements!$B$2:$B$20000,$A287,Movements!$C$2:$C$20000,"ISSUE")-SUMIFS(Movements!$D$2:$D$20000,Movements!$B$2:$B$20000,$A287,Movements!$C$2:$C$20000,"SCRAP")-SUMIFS(Movements!$D$2:$D$20000,Movements!$B$2:$B$20000,$A287,Movements!$C$2:$C$20000,"ADJUST-")</f>
        <v/>
      </c>
      <c r="F287" s="16" t="n">
        <v>20</v>
      </c>
      <c r="G287" s="23">
        <f>IF($E287&lt;=0,"OUT OF STOCK",IF(AND($F287&gt;0,$E287&lt;=$F287*0.2),"LOW STOCK","IN STOCK"))</f>
        <v/>
      </c>
    </row>
    <row r="288" ht="15" customHeight="1" s="13">
      <c r="A288" s="16" t="inlineStr">
        <is>
          <t>7243/0336</t>
        </is>
      </c>
      <c r="B288" s="16" t="inlineStr">
        <is>
          <t>55 WAY JPT HSG COVER</t>
        </is>
      </c>
      <c r="C288" s="16" t="inlineStr">
        <is>
          <t>NO</t>
        </is>
      </c>
      <c r="D288" s="16" t="n"/>
      <c r="E288" s="22">
        <f>SUMIFS(Movements!$D$2:$D$20000,Movements!$B$2:$B$20000,$A288,Movements!$C$2:$C$20000,"RECEIPT")+SUMIFS(Movements!$D$2:$D$20000,Movements!$B$2:$B$20000,$A288,Movements!$C$2:$C$20000,"RETURN")+SUMIFS(Movements!$D$2:$D$20000,Movements!$B$2:$B$20000,$A288,Movements!$C$2:$C$20000,"ADJUST+")-SUMIFS(Movements!$D$2:$D$20000,Movements!$B$2:$B$20000,$A288,Movements!$C$2:$C$20000,"ISSUE")-SUMIFS(Movements!$D$2:$D$20000,Movements!$B$2:$B$20000,$A288,Movements!$C$2:$C$20000,"SCRAP")-SUMIFS(Movements!$D$2:$D$20000,Movements!$B$2:$B$20000,$A288,Movements!$C$2:$C$20000,"ADJUST-")</f>
        <v/>
      </c>
      <c r="F288" s="16" t="n">
        <v>20</v>
      </c>
      <c r="G288" s="23">
        <f>IF($E288&lt;=0,"OUT OF STOCK",IF(AND($F288&gt;0,$E288&lt;=$F288*0.2),"LOW STOCK","IN STOCK"))</f>
        <v/>
      </c>
    </row>
    <row r="289" ht="15" customHeight="1" s="13">
      <c r="A289" s="16" t="inlineStr">
        <is>
          <t>7219/0404</t>
        </is>
      </c>
      <c r="B289" s="16" t="inlineStr">
        <is>
          <t>36W MTII/JPT HYBRID SEALED CONNECTOR</t>
        </is>
      </c>
      <c r="C289" s="16" t="inlineStr">
        <is>
          <t>NO</t>
        </is>
      </c>
      <c r="D289" s="16" t="inlineStr">
        <is>
          <t>L-9</t>
        </is>
      </c>
      <c r="E289" s="22">
        <f>SUMIFS(Movements!$D$2:$D$20000,Movements!$B$2:$B$20000,$A289,Movements!$C$2:$C$20000,"RECEIPT")+SUMIFS(Movements!$D$2:$D$20000,Movements!$B$2:$B$20000,$A289,Movements!$C$2:$C$20000,"RETURN")+SUMIFS(Movements!$D$2:$D$20000,Movements!$B$2:$B$20000,$A289,Movements!$C$2:$C$20000,"ADJUST+")-SUMIFS(Movements!$D$2:$D$20000,Movements!$B$2:$B$20000,$A289,Movements!$C$2:$C$20000,"ISSUE")-SUMIFS(Movements!$D$2:$D$20000,Movements!$B$2:$B$20000,$A289,Movements!$C$2:$C$20000,"SCRAP")-SUMIFS(Movements!$D$2:$D$20000,Movements!$B$2:$B$20000,$A289,Movements!$C$2:$C$20000,"ADJUST-")</f>
        <v/>
      </c>
      <c r="F289" s="16" t="n">
        <v>30</v>
      </c>
      <c r="G289" s="23">
        <f>IF($E289&lt;=0,"OUT OF STOCK",IF(AND($F289&gt;0,$E289&lt;=$F289*0.2),"LOW STOCK","IN STOCK"))</f>
        <v/>
      </c>
    </row>
    <row r="290" ht="15" customHeight="1" s="13">
      <c r="A290" s="16" t="inlineStr">
        <is>
          <t>332/T8904</t>
        </is>
      </c>
      <c r="B290" s="16" t="inlineStr">
        <is>
          <t>Wire Seal 1.2-2.1mm MQS JPT Blue</t>
        </is>
      </c>
      <c r="C290" s="16" t="inlineStr">
        <is>
          <t>NO</t>
        </is>
      </c>
      <c r="D290" s="16" t="inlineStr">
        <is>
          <t>seal box</t>
        </is>
      </c>
      <c r="E290" s="22">
        <f>SUMIFS(Movements!$D$2:$D$20000,Movements!$B$2:$B$20000,$A290,Movements!$C$2:$C$20000,"RECEIPT")+SUMIFS(Movements!$D$2:$D$20000,Movements!$B$2:$B$20000,$A290,Movements!$C$2:$C$20000,"RETURN")+SUMIFS(Movements!$D$2:$D$20000,Movements!$B$2:$B$20000,$A290,Movements!$C$2:$C$20000,"ADJUST+")-SUMIFS(Movements!$D$2:$D$20000,Movements!$B$2:$B$20000,$A290,Movements!$C$2:$C$20000,"ISSUE")-SUMIFS(Movements!$D$2:$D$20000,Movements!$B$2:$B$20000,$A290,Movements!$C$2:$C$20000,"SCRAP")-SUMIFS(Movements!$D$2:$D$20000,Movements!$B$2:$B$20000,$A290,Movements!$C$2:$C$20000,"ADJUST-")</f>
        <v/>
      </c>
      <c r="F290" s="16" t="n">
        <v>10</v>
      </c>
      <c r="G290" s="23">
        <f>IF($E290&lt;=0,"OUT OF STOCK",IF(AND($F290&gt;0,$E290&lt;=$F290*0.2),"LOW STOCK","IN STOCK"))</f>
        <v/>
      </c>
    </row>
    <row r="291" ht="15" customHeight="1" s="13">
      <c r="A291" s="16" t="inlineStr">
        <is>
          <t>332/T4414</t>
        </is>
      </c>
      <c r="B291" s="16" t="inlineStr">
        <is>
          <t>0.75-1.25mm² Fem Term Superseal 1.0 Gold</t>
        </is>
      </c>
      <c r="C291" s="16" t="inlineStr">
        <is>
          <t>NO</t>
        </is>
      </c>
      <c r="D291" s="16" t="inlineStr">
        <is>
          <t>D2-1</t>
        </is>
      </c>
      <c r="E291" s="22">
        <f>SUMIFS(Movements!$D$2:$D$20000,Movements!$B$2:$B$20000,$A291,Movements!$C$2:$C$20000,"RECEIPT")+SUMIFS(Movements!$D$2:$D$20000,Movements!$B$2:$B$20000,$A291,Movements!$C$2:$C$20000,"RETURN")+SUMIFS(Movements!$D$2:$D$20000,Movements!$B$2:$B$20000,$A291,Movements!$C$2:$C$20000,"ADJUST+")-SUMIFS(Movements!$D$2:$D$20000,Movements!$B$2:$B$20000,$A291,Movements!$C$2:$C$20000,"ISSUE")-SUMIFS(Movements!$D$2:$D$20000,Movements!$B$2:$B$20000,$A291,Movements!$C$2:$C$20000,"SCRAP")-SUMIFS(Movements!$D$2:$D$20000,Movements!$B$2:$B$20000,$A291,Movements!$C$2:$C$20000,"ADJUST-")</f>
        <v/>
      </c>
      <c r="F291" s="16" t="n">
        <v>135</v>
      </c>
      <c r="G291" s="23">
        <f>IF($E291&lt;=0,"OUT OF STOCK",IF(AND($F291&gt;0,$E291&lt;=$F291*0.2),"LOW STOCK","IN STOCK"))</f>
        <v/>
      </c>
    </row>
    <row r="292" ht="15" customHeight="1" s="13">
      <c r="A292" s="16" t="inlineStr">
        <is>
          <t>7237/0016</t>
        </is>
      </c>
      <c r="B292" s="16" t="inlineStr">
        <is>
          <t>7 WAY MCP 2.8K SKT INSERT</t>
        </is>
      </c>
      <c r="C292" s="16" t="inlineStr">
        <is>
          <t>NO</t>
        </is>
      </c>
      <c r="D292" s="16" t="inlineStr">
        <is>
          <t>L-3</t>
        </is>
      </c>
      <c r="E292" s="22">
        <f>SUMIFS(Movements!$D$2:$D$20000,Movements!$B$2:$B$20000,$A292,Movements!$C$2:$C$20000,"RECEIPT")+SUMIFS(Movements!$D$2:$D$20000,Movements!$B$2:$B$20000,$A292,Movements!$C$2:$C$20000,"RETURN")+SUMIFS(Movements!$D$2:$D$20000,Movements!$B$2:$B$20000,$A292,Movements!$C$2:$C$20000,"ADJUST+")-SUMIFS(Movements!$D$2:$D$20000,Movements!$B$2:$B$20000,$A292,Movements!$C$2:$C$20000,"ISSUE")-SUMIFS(Movements!$D$2:$D$20000,Movements!$B$2:$B$20000,$A292,Movements!$C$2:$C$20000,"SCRAP")-SUMIFS(Movements!$D$2:$D$20000,Movements!$B$2:$B$20000,$A292,Movements!$C$2:$C$20000,"ADJUST-")</f>
        <v/>
      </c>
      <c r="F292" s="16" t="n">
        <v>20</v>
      </c>
      <c r="G292" s="23">
        <f>IF($E292&lt;=0,"OUT OF STOCK",IF(AND($F292&gt;0,$E292&lt;=$F292*0.2),"LOW STOCK","IN STOCK"))</f>
        <v/>
      </c>
    </row>
    <row r="293" ht="15" customHeight="1" s="13">
      <c r="A293" s="16" t="inlineStr">
        <is>
          <t>7243/0982</t>
        </is>
      </c>
      <c r="B293" s="16" t="inlineStr">
        <is>
          <t>2W 090 MLC TYPE-3 FIR TREE CLIP</t>
        </is>
      </c>
      <c r="C293" s="16" t="inlineStr">
        <is>
          <t>NO</t>
        </is>
      </c>
      <c r="D293" s="16" t="inlineStr">
        <is>
          <t>L-3</t>
        </is>
      </c>
      <c r="E293" s="22">
        <f>SUMIFS(Movements!$D$2:$D$20000,Movements!$B$2:$B$20000,$A293,Movements!$C$2:$C$20000,"RECEIPT")+SUMIFS(Movements!$D$2:$D$20000,Movements!$B$2:$B$20000,$A293,Movements!$C$2:$C$20000,"RETURN")+SUMIFS(Movements!$D$2:$D$20000,Movements!$B$2:$B$20000,$A293,Movements!$C$2:$C$20000,"ADJUST+")-SUMIFS(Movements!$D$2:$D$20000,Movements!$B$2:$B$20000,$A293,Movements!$C$2:$C$20000,"ISSUE")-SUMIFS(Movements!$D$2:$D$20000,Movements!$B$2:$B$20000,$A293,Movements!$C$2:$C$20000,"SCRAP")-SUMIFS(Movements!$D$2:$D$20000,Movements!$B$2:$B$20000,$A293,Movements!$C$2:$C$20000,"ADJUST-")</f>
        <v/>
      </c>
      <c r="F293" s="16" t="n">
        <v>20</v>
      </c>
      <c r="G293" s="23">
        <f>IF($E293&lt;=0,"OUT OF STOCK",IF(AND($F293&gt;0,$E293&lt;=$F293*0.2),"LOW STOCK","IN STOCK"))</f>
        <v/>
      </c>
    </row>
    <row r="294" ht="15" customHeight="1" s="13">
      <c r="A294" s="16" t="inlineStr">
        <is>
          <t>7243/0351</t>
        </is>
      </c>
      <c r="B294" s="16" t="inlineStr">
        <is>
          <t>MCP Secondary Lock for 62 Way</t>
        </is>
      </c>
      <c r="C294" s="16" t="inlineStr">
        <is>
          <t>NO</t>
        </is>
      </c>
      <c r="D294" s="16" t="n"/>
      <c r="E294" s="22">
        <f>SUMIFS(Movements!$D$2:$D$20000,Movements!$B$2:$B$20000,$A294,Movements!$C$2:$C$20000,"RECEIPT")+SUMIFS(Movements!$D$2:$D$20000,Movements!$B$2:$B$20000,$A294,Movements!$C$2:$C$20000,"RETURN")+SUMIFS(Movements!$D$2:$D$20000,Movements!$B$2:$B$20000,$A294,Movements!$C$2:$C$20000,"ADJUST+")-SUMIFS(Movements!$D$2:$D$20000,Movements!$B$2:$B$20000,$A294,Movements!$C$2:$C$20000,"ISSUE")-SUMIFS(Movements!$D$2:$D$20000,Movements!$B$2:$B$20000,$A294,Movements!$C$2:$C$20000,"SCRAP")-SUMIFS(Movements!$D$2:$D$20000,Movements!$B$2:$B$20000,$A294,Movements!$C$2:$C$20000,"ADJUST-")</f>
        <v/>
      </c>
      <c r="F294" s="16" t="n">
        <v>10</v>
      </c>
      <c r="G294" s="23">
        <f>IF($E294&lt;=0,"OUT OF STOCK",IF(AND($F294&gt;0,$E294&lt;=$F294*0.2),"LOW STOCK","IN STOCK"))</f>
        <v/>
      </c>
    </row>
    <row r="295" ht="15" customHeight="1" s="13">
      <c r="A295" s="16" t="inlineStr">
        <is>
          <t>7239/0085</t>
        </is>
      </c>
      <c r="B295" s="16" t="inlineStr">
        <is>
          <t>18 WAY AMP MCP 1.5K SKT HSG (P1-18)</t>
        </is>
      </c>
      <c r="C295" s="16" t="inlineStr">
        <is>
          <t>NO</t>
        </is>
      </c>
      <c r="D295" s="16" t="inlineStr">
        <is>
          <t>L-3</t>
        </is>
      </c>
      <c r="E295" s="22">
        <f>SUMIFS(Movements!$D$2:$D$20000,Movements!$B$2:$B$20000,$A295,Movements!$C$2:$C$20000,"RECEIPT")+SUMIFS(Movements!$D$2:$D$20000,Movements!$B$2:$B$20000,$A295,Movements!$C$2:$C$20000,"RETURN")+SUMIFS(Movements!$D$2:$D$20000,Movements!$B$2:$B$20000,$A295,Movements!$C$2:$C$20000,"ADJUST+")-SUMIFS(Movements!$D$2:$D$20000,Movements!$B$2:$B$20000,$A295,Movements!$C$2:$C$20000,"ISSUE")-SUMIFS(Movements!$D$2:$D$20000,Movements!$B$2:$B$20000,$A295,Movements!$C$2:$C$20000,"SCRAP")-SUMIFS(Movements!$D$2:$D$20000,Movements!$B$2:$B$20000,$A295,Movements!$C$2:$C$20000,"ADJUST-")</f>
        <v/>
      </c>
      <c r="F295" s="16" t="n">
        <v>20</v>
      </c>
      <c r="G295" s="23">
        <f>IF($E295&lt;=0,"OUT OF STOCK",IF(AND($F295&gt;0,$E295&lt;=$F295*0.2),"LOW STOCK","IN STOCK"))</f>
        <v/>
      </c>
    </row>
    <row r="296" ht="15" customHeight="1" s="13">
      <c r="A296" s="16" t="inlineStr">
        <is>
          <t>332/V7989</t>
        </is>
      </c>
      <c r="B296" s="16" t="inlineStr">
        <is>
          <t>0.50-0.75mm² MQS FEM TERMINAL</t>
        </is>
      </c>
      <c r="C296" s="16" t="inlineStr">
        <is>
          <t>NO</t>
        </is>
      </c>
      <c r="D296" s="16" t="n"/>
      <c r="E296" s="22">
        <f>SUMIFS(Movements!$D$2:$D$20000,Movements!$B$2:$B$20000,$A296,Movements!$C$2:$C$20000,"RECEIPT")+SUMIFS(Movements!$D$2:$D$20000,Movements!$B$2:$B$20000,$A296,Movements!$C$2:$C$20000,"RETURN")+SUMIFS(Movements!$D$2:$D$20000,Movements!$B$2:$B$20000,$A296,Movements!$C$2:$C$20000,"ADJUST+")-SUMIFS(Movements!$D$2:$D$20000,Movements!$B$2:$B$20000,$A296,Movements!$C$2:$C$20000,"ISSUE")-SUMIFS(Movements!$D$2:$D$20000,Movements!$B$2:$B$20000,$A296,Movements!$C$2:$C$20000,"SCRAP")-SUMIFS(Movements!$D$2:$D$20000,Movements!$B$2:$B$20000,$A296,Movements!$C$2:$C$20000,"ADJUST-")</f>
        <v/>
      </c>
      <c r="F296" s="16" t="n">
        <v>100</v>
      </c>
      <c r="G296" s="23">
        <f>IF($E296&lt;=0,"OUT OF STOCK",IF(AND($F296&gt;0,$E296&lt;=$F296*0.2),"LOW STOCK","IN STOCK"))</f>
        <v/>
      </c>
    </row>
    <row r="297" ht="15" customHeight="1" s="13">
      <c r="A297" s="16" t="inlineStr">
        <is>
          <t>7243/0462</t>
        </is>
      </c>
      <c r="B297" s="16" t="inlineStr">
        <is>
          <t>DT06-2S Dust Cap With Fixing Point</t>
        </is>
      </c>
      <c r="C297" s="16" t="inlineStr">
        <is>
          <t>NO</t>
        </is>
      </c>
      <c r="D297" s="16" t="n"/>
      <c r="E297" s="22">
        <f>SUMIFS(Movements!$D$2:$D$20000,Movements!$B$2:$B$20000,$A297,Movements!$C$2:$C$20000,"RECEIPT")+SUMIFS(Movements!$D$2:$D$20000,Movements!$B$2:$B$20000,$A297,Movements!$C$2:$C$20000,"RETURN")+SUMIFS(Movements!$D$2:$D$20000,Movements!$B$2:$B$20000,$A297,Movements!$C$2:$C$20000,"ADJUST+")-SUMIFS(Movements!$D$2:$D$20000,Movements!$B$2:$B$20000,$A297,Movements!$C$2:$C$20000,"ISSUE")-SUMIFS(Movements!$D$2:$D$20000,Movements!$B$2:$B$20000,$A297,Movements!$C$2:$C$20000,"SCRAP")-SUMIFS(Movements!$D$2:$D$20000,Movements!$B$2:$B$20000,$A297,Movements!$C$2:$C$20000,"ADJUST-")</f>
        <v/>
      </c>
      <c r="F297" s="16" t="n">
        <v>5</v>
      </c>
      <c r="G297" s="23">
        <f>IF($E297&lt;=0,"OUT OF STOCK",IF(AND($F297&gt;0,$E297&lt;=$F297*0.2),"LOW STOCK","IN STOCK"))</f>
        <v/>
      </c>
    </row>
    <row r="298" ht="15" customHeight="1" s="13">
      <c r="A298" s="16" t="inlineStr">
        <is>
          <t>7213/0006</t>
        </is>
      </c>
      <c r="B298" s="16" t="inlineStr">
        <is>
          <t>3 Way HW090 Pin Housing</t>
        </is>
      </c>
      <c r="C298" s="16" t="inlineStr">
        <is>
          <t>NO</t>
        </is>
      </c>
      <c r="D298" s="16" t="inlineStr">
        <is>
          <t>L-2</t>
        </is>
      </c>
      <c r="E298" s="22">
        <f>SUMIFS(Movements!$D$2:$D$20000,Movements!$B$2:$B$20000,$A298,Movements!$C$2:$C$20000,"RECEIPT")+SUMIFS(Movements!$D$2:$D$20000,Movements!$B$2:$B$20000,$A298,Movements!$C$2:$C$20000,"RETURN")+SUMIFS(Movements!$D$2:$D$20000,Movements!$B$2:$B$20000,$A298,Movements!$C$2:$C$20000,"ADJUST+")-SUMIFS(Movements!$D$2:$D$20000,Movements!$B$2:$B$20000,$A298,Movements!$C$2:$C$20000,"ISSUE")-SUMIFS(Movements!$D$2:$D$20000,Movements!$B$2:$B$20000,$A298,Movements!$C$2:$C$20000,"SCRAP")-SUMIFS(Movements!$D$2:$D$20000,Movements!$B$2:$B$20000,$A298,Movements!$C$2:$C$20000,"ADJUST-")</f>
        <v/>
      </c>
      <c r="F298" s="16" t="n">
        <v>12</v>
      </c>
      <c r="G298" s="23">
        <f>IF($E298&lt;=0,"OUT OF STOCK",IF(AND($F298&gt;0,$E298&lt;=$F298*0.2),"LOW STOCK","IN STOCK"))</f>
        <v/>
      </c>
    </row>
    <row r="299" ht="15" customHeight="1" s="13">
      <c r="A299" s="16" t="inlineStr">
        <is>
          <t>7214/0015</t>
        </is>
      </c>
      <c r="B299" s="16" t="inlineStr">
        <is>
          <t>SUPERSEDED BY 7214/0025 4 WAY DT FEM HSG</t>
        </is>
      </c>
      <c r="C299" s="16" t="inlineStr">
        <is>
          <t>NO</t>
        </is>
      </c>
      <c r="D299" s="16" t="n"/>
      <c r="E299" s="22">
        <f>SUMIFS(Movements!$D$2:$D$20000,Movements!$B$2:$B$20000,$A299,Movements!$C$2:$C$20000,"RECEIPT")+SUMIFS(Movements!$D$2:$D$20000,Movements!$B$2:$B$20000,$A299,Movements!$C$2:$C$20000,"RETURN")+SUMIFS(Movements!$D$2:$D$20000,Movements!$B$2:$B$20000,$A299,Movements!$C$2:$C$20000,"ADJUST+")-SUMIFS(Movements!$D$2:$D$20000,Movements!$B$2:$B$20000,$A299,Movements!$C$2:$C$20000,"ISSUE")-SUMIFS(Movements!$D$2:$D$20000,Movements!$B$2:$B$20000,$A299,Movements!$C$2:$C$20000,"SCRAP")-SUMIFS(Movements!$D$2:$D$20000,Movements!$B$2:$B$20000,$A299,Movements!$C$2:$C$20000,"ADJUST-")</f>
        <v/>
      </c>
      <c r="F299" s="16" t="n">
        <v>20</v>
      </c>
      <c r="G299" s="23">
        <f>IF($E299&lt;=0,"OUT OF STOCK",IF(AND($F299&gt;0,$E299&lt;=$F299*0.2),"LOW STOCK","IN STOCK"))</f>
        <v/>
      </c>
    </row>
    <row r="300" ht="15" customHeight="1" s="13">
      <c r="A300" s="16" t="inlineStr">
        <is>
          <t>7213/0005</t>
        </is>
      </c>
      <c r="B300" s="16" t="inlineStr">
        <is>
          <t>3 Way HW090 Socket Housing</t>
        </is>
      </c>
      <c r="C300" s="16" t="inlineStr">
        <is>
          <t>NO</t>
        </is>
      </c>
      <c r="D300" s="16" t="inlineStr">
        <is>
          <t>L-2</t>
        </is>
      </c>
      <c r="E300" s="22">
        <f>SUMIFS(Movements!$D$2:$D$20000,Movements!$B$2:$B$20000,$A300,Movements!$C$2:$C$20000,"RECEIPT")+SUMIFS(Movements!$D$2:$D$20000,Movements!$B$2:$B$20000,$A300,Movements!$C$2:$C$20000,"RETURN")+SUMIFS(Movements!$D$2:$D$20000,Movements!$B$2:$B$20000,$A300,Movements!$C$2:$C$20000,"ADJUST+")-SUMIFS(Movements!$D$2:$D$20000,Movements!$B$2:$B$20000,$A300,Movements!$C$2:$C$20000,"ISSUE")-SUMIFS(Movements!$D$2:$D$20000,Movements!$B$2:$B$20000,$A300,Movements!$C$2:$C$20000,"SCRAP")-SUMIFS(Movements!$D$2:$D$20000,Movements!$B$2:$B$20000,$A300,Movements!$C$2:$C$20000,"ADJUST-")</f>
        <v/>
      </c>
      <c r="F300" s="16" t="n">
        <v>12</v>
      </c>
      <c r="G300" s="23">
        <f>IF($E300&lt;=0,"OUT OF STOCK",IF(AND($F300&gt;0,$E300&lt;=$F300*0.2),"LOW STOCK","IN STOCK"))</f>
        <v/>
      </c>
    </row>
    <row r="301" ht="15" customHeight="1" s="13">
      <c r="A301" s="16" t="inlineStr">
        <is>
          <t>7216/0015</t>
        </is>
      </c>
      <c r="B301" s="16" t="inlineStr">
        <is>
          <t>SUPERSEDED BY 7218/0016 6 WAY DT FEM HSG</t>
        </is>
      </c>
      <c r="C301" s="16" t="inlineStr">
        <is>
          <t>NO</t>
        </is>
      </c>
      <c r="D301" s="16" t="n"/>
      <c r="E301" s="22">
        <f>SUMIFS(Movements!$D$2:$D$20000,Movements!$B$2:$B$20000,$A301,Movements!$C$2:$C$20000,"RECEIPT")+SUMIFS(Movements!$D$2:$D$20000,Movements!$B$2:$B$20000,$A301,Movements!$C$2:$C$20000,"RETURN")+SUMIFS(Movements!$D$2:$D$20000,Movements!$B$2:$B$20000,$A301,Movements!$C$2:$C$20000,"ADJUST+")-SUMIFS(Movements!$D$2:$D$20000,Movements!$B$2:$B$20000,$A301,Movements!$C$2:$C$20000,"ISSUE")-SUMIFS(Movements!$D$2:$D$20000,Movements!$B$2:$B$20000,$A301,Movements!$C$2:$C$20000,"SCRAP")-SUMIFS(Movements!$D$2:$D$20000,Movements!$B$2:$B$20000,$A301,Movements!$C$2:$C$20000,"ADJUST-")</f>
        <v/>
      </c>
      <c r="F301" s="16" t="n">
        <v>12</v>
      </c>
      <c r="G301" s="23">
        <f>IF($E301&lt;=0,"OUT OF STOCK",IF(AND($F301&gt;0,$E301&lt;=$F301*0.2),"LOW STOCK","IN STOCK"))</f>
        <v/>
      </c>
    </row>
    <row r="302" ht="15" customHeight="1" s="13">
      <c r="A302" s="16" t="inlineStr">
        <is>
          <t>7212/0004</t>
        </is>
      </c>
      <c r="B302" s="16" t="inlineStr">
        <is>
          <t>2 Way HW090 Pin Retainer</t>
        </is>
      </c>
      <c r="C302" s="16" t="inlineStr">
        <is>
          <t>NO</t>
        </is>
      </c>
      <c r="D302" s="16" t="inlineStr">
        <is>
          <t>L-1</t>
        </is>
      </c>
      <c r="E302" s="22">
        <f>SUMIFS(Movements!$D$2:$D$20000,Movements!$B$2:$B$20000,$A302,Movements!$C$2:$C$20000,"RECEIPT")+SUMIFS(Movements!$D$2:$D$20000,Movements!$B$2:$B$20000,$A302,Movements!$C$2:$C$20000,"RETURN")+SUMIFS(Movements!$D$2:$D$20000,Movements!$B$2:$B$20000,$A302,Movements!$C$2:$C$20000,"ADJUST+")-SUMIFS(Movements!$D$2:$D$20000,Movements!$B$2:$B$20000,$A302,Movements!$C$2:$C$20000,"ISSUE")-SUMIFS(Movements!$D$2:$D$20000,Movements!$B$2:$B$20000,$A302,Movements!$C$2:$C$20000,"SCRAP")-SUMIFS(Movements!$D$2:$D$20000,Movements!$B$2:$B$20000,$A302,Movements!$C$2:$C$20000,"ADJUST-")</f>
        <v/>
      </c>
      <c r="F302" s="16" t="n">
        <v>100</v>
      </c>
      <c r="G302" s="23">
        <f>IF($E302&lt;=0,"OUT OF STOCK",IF(AND($F302&gt;0,$E302&lt;=$F302*0.2),"LOW STOCK","IN STOCK"))</f>
        <v/>
      </c>
    </row>
    <row r="303" ht="15" customHeight="1" s="13">
      <c r="A303" s="16" t="inlineStr">
        <is>
          <t>7216/0013</t>
        </is>
      </c>
      <c r="B303" s="16" t="inlineStr">
        <is>
          <t>SUPERSEDED BY 7216/0017 6 WAY DT MALE HSG</t>
        </is>
      </c>
      <c r="C303" s="16" t="inlineStr">
        <is>
          <t>NO</t>
        </is>
      </c>
      <c r="D303" s="16" t="n"/>
      <c r="E303" s="22">
        <f>SUMIFS(Movements!$D$2:$D$20000,Movements!$B$2:$B$20000,$A303,Movements!$C$2:$C$20000,"RECEIPT")+SUMIFS(Movements!$D$2:$D$20000,Movements!$B$2:$B$20000,$A303,Movements!$C$2:$C$20000,"RETURN")+SUMIFS(Movements!$D$2:$D$20000,Movements!$B$2:$B$20000,$A303,Movements!$C$2:$C$20000,"ADJUST+")-SUMIFS(Movements!$D$2:$D$20000,Movements!$B$2:$B$20000,$A303,Movements!$C$2:$C$20000,"ISSUE")-SUMIFS(Movements!$D$2:$D$20000,Movements!$B$2:$B$20000,$A303,Movements!$C$2:$C$20000,"SCRAP")-SUMIFS(Movements!$D$2:$D$20000,Movements!$B$2:$B$20000,$A303,Movements!$C$2:$C$20000,"ADJUST-")</f>
        <v/>
      </c>
      <c r="F303" s="16" t="n">
        <v>20</v>
      </c>
      <c r="G303" s="23">
        <f>IF($E303&lt;=0,"OUT OF STOCK",IF(AND($F303&gt;0,$E303&lt;=$F303*0.2),"LOW STOCK","IN STOCK"))</f>
        <v/>
      </c>
    </row>
    <row r="304" ht="15" customHeight="1" s="13">
      <c r="A304" s="16" t="inlineStr">
        <is>
          <t>7216/0004</t>
        </is>
      </c>
      <c r="B304" s="16" t="inlineStr">
        <is>
          <t>6 Way HW090 Pin Retainer</t>
        </is>
      </c>
      <c r="C304" s="16" t="inlineStr">
        <is>
          <t>NO</t>
        </is>
      </c>
      <c r="D304" s="16" t="inlineStr">
        <is>
          <t>L-2</t>
        </is>
      </c>
      <c r="E304" s="22">
        <f>SUMIFS(Movements!$D$2:$D$20000,Movements!$B$2:$B$20000,$A304,Movements!$C$2:$C$20000,"RECEIPT")+SUMIFS(Movements!$D$2:$D$20000,Movements!$B$2:$B$20000,$A304,Movements!$C$2:$C$20000,"RETURN")+SUMIFS(Movements!$D$2:$D$20000,Movements!$B$2:$B$20000,$A304,Movements!$C$2:$C$20000,"ADJUST+")-SUMIFS(Movements!$D$2:$D$20000,Movements!$B$2:$B$20000,$A304,Movements!$C$2:$C$20000,"ISSUE")-SUMIFS(Movements!$D$2:$D$20000,Movements!$B$2:$B$20000,$A304,Movements!$C$2:$C$20000,"SCRAP")-SUMIFS(Movements!$D$2:$D$20000,Movements!$B$2:$B$20000,$A304,Movements!$C$2:$C$20000,"ADJUST-")</f>
        <v/>
      </c>
      <c r="F304" s="16" t="n">
        <v>12</v>
      </c>
      <c r="G304" s="23">
        <f>IF($E304&lt;=0,"OUT OF STOCK",IF(AND($F304&gt;0,$E304&lt;=$F304*0.2),"LOW STOCK","IN STOCK"))</f>
        <v/>
      </c>
    </row>
    <row r="305" ht="15" customHeight="1" s="13">
      <c r="A305" s="16" t="inlineStr">
        <is>
          <t>7210/0095</t>
        </is>
      </c>
      <c r="B305" s="16" t="inlineStr">
        <is>
          <t>Wire Seal 1.20-1.70mm HW090 Grey</t>
        </is>
      </c>
      <c r="C305" s="16" t="inlineStr">
        <is>
          <t>NO</t>
        </is>
      </c>
      <c r="D305" s="16" t="inlineStr">
        <is>
          <t>seal box</t>
        </is>
      </c>
      <c r="E305" s="22">
        <f>SUMIFS(Movements!$D$2:$D$20000,Movements!$B$2:$B$20000,$A305,Movements!$C$2:$C$20000,"RECEIPT")+SUMIFS(Movements!$D$2:$D$20000,Movements!$B$2:$B$20000,$A305,Movements!$C$2:$C$20000,"RETURN")+SUMIFS(Movements!$D$2:$D$20000,Movements!$B$2:$B$20000,$A305,Movements!$C$2:$C$20000,"ADJUST+")-SUMIFS(Movements!$D$2:$D$20000,Movements!$B$2:$B$20000,$A305,Movements!$C$2:$C$20000,"ISSUE")-SUMIFS(Movements!$D$2:$D$20000,Movements!$B$2:$B$20000,$A305,Movements!$C$2:$C$20000,"SCRAP")-SUMIFS(Movements!$D$2:$D$20000,Movements!$B$2:$B$20000,$A305,Movements!$C$2:$C$20000,"ADJUST-")</f>
        <v/>
      </c>
      <c r="F305" s="16" t="n">
        <v>600</v>
      </c>
      <c r="G305" s="23">
        <f>IF($E305&lt;=0,"OUT OF STOCK",IF(AND($F305&gt;0,$E305&lt;=$F305*0.2),"LOW STOCK","IN STOCK"))</f>
        <v/>
      </c>
    </row>
    <row r="306" ht="15" customHeight="1" s="13">
      <c r="A306" s="16" t="inlineStr">
        <is>
          <t>7214/0004</t>
        </is>
      </c>
      <c r="B306" s="16" t="inlineStr">
        <is>
          <t>4 Way HW090 Pin Retainer</t>
        </is>
      </c>
      <c r="C306" s="16" t="inlineStr">
        <is>
          <t>NO</t>
        </is>
      </c>
      <c r="D306" s="16" t="inlineStr">
        <is>
          <t>L-1</t>
        </is>
      </c>
      <c r="E306" s="22">
        <f>SUMIFS(Movements!$D$2:$D$20000,Movements!$B$2:$B$20000,$A306,Movements!$C$2:$C$20000,"RECEIPT")+SUMIFS(Movements!$D$2:$D$20000,Movements!$B$2:$B$20000,$A306,Movements!$C$2:$C$20000,"RETURN")+SUMIFS(Movements!$D$2:$D$20000,Movements!$B$2:$B$20000,$A306,Movements!$C$2:$C$20000,"ADJUST+")-SUMIFS(Movements!$D$2:$D$20000,Movements!$B$2:$B$20000,$A306,Movements!$C$2:$C$20000,"ISSUE")-SUMIFS(Movements!$D$2:$D$20000,Movements!$B$2:$B$20000,$A306,Movements!$C$2:$C$20000,"SCRAP")-SUMIFS(Movements!$D$2:$D$20000,Movements!$B$2:$B$20000,$A306,Movements!$C$2:$C$20000,"ADJUST-")</f>
        <v/>
      </c>
      <c r="F306" s="16" t="n">
        <v>12</v>
      </c>
      <c r="G306" s="23">
        <f>IF($E306&lt;=0,"OUT OF STOCK",IF(AND($F306&gt;0,$E306&lt;=$F306*0.2),"LOW STOCK","IN STOCK"))</f>
        <v/>
      </c>
    </row>
    <row r="307" ht="15" customHeight="1" s="13">
      <c r="A307" s="16" t="inlineStr">
        <is>
          <t>7212/0030</t>
        </is>
      </c>
      <c r="B307" s="16" t="inlineStr">
        <is>
          <t>2 WAY DT06 SKT HSG BLACK ENDCAP N-SEAL</t>
        </is>
      </c>
      <c r="C307" s="16" t="inlineStr">
        <is>
          <t>NO</t>
        </is>
      </c>
      <c r="D307" s="16" t="inlineStr">
        <is>
          <t>L-2</t>
        </is>
      </c>
      <c r="E307" s="22">
        <f>SUMIFS(Movements!$D$2:$D$20000,Movements!$B$2:$B$20000,$A307,Movements!$C$2:$C$20000,"RECEIPT")+SUMIFS(Movements!$D$2:$D$20000,Movements!$B$2:$B$20000,$A307,Movements!$C$2:$C$20000,"RETURN")+SUMIFS(Movements!$D$2:$D$20000,Movements!$B$2:$B$20000,$A307,Movements!$C$2:$C$20000,"ADJUST+")-SUMIFS(Movements!$D$2:$D$20000,Movements!$B$2:$B$20000,$A307,Movements!$C$2:$C$20000,"ISSUE")-SUMIFS(Movements!$D$2:$D$20000,Movements!$B$2:$B$20000,$A307,Movements!$C$2:$C$20000,"SCRAP")-SUMIFS(Movements!$D$2:$D$20000,Movements!$B$2:$B$20000,$A307,Movements!$C$2:$C$20000,"ADJUST-")</f>
        <v/>
      </c>
      <c r="F307" s="16" t="n">
        <v>12</v>
      </c>
      <c r="G307" s="23">
        <f>IF($E307&lt;=0,"OUT OF STOCK",IF(AND($F307&gt;0,$E307&lt;=$F307*0.2),"LOW STOCK","IN STOCK"))</f>
        <v/>
      </c>
    </row>
    <row r="308" ht="15" customHeight="1" s="13">
      <c r="A308" s="16" t="inlineStr">
        <is>
          <t>7212/0029</t>
        </is>
      </c>
      <c r="B308" s="16" t="inlineStr">
        <is>
          <t>2 Way DT04 Wedge</t>
        </is>
      </c>
      <c r="C308" s="16" t="inlineStr">
        <is>
          <t>NO</t>
        </is>
      </c>
      <c r="D308" s="16" t="n"/>
      <c r="E308" s="22">
        <f>SUMIFS(Movements!$D$2:$D$20000,Movements!$B$2:$B$20000,$A308,Movements!$C$2:$C$20000,"RECEIPT")+SUMIFS(Movements!$D$2:$D$20000,Movements!$B$2:$B$20000,$A308,Movements!$C$2:$C$20000,"RETURN")+SUMIFS(Movements!$D$2:$D$20000,Movements!$B$2:$B$20000,$A308,Movements!$C$2:$C$20000,"ADJUST+")-SUMIFS(Movements!$D$2:$D$20000,Movements!$B$2:$B$20000,$A308,Movements!$C$2:$C$20000,"ISSUE")-SUMIFS(Movements!$D$2:$D$20000,Movements!$B$2:$B$20000,$A308,Movements!$C$2:$C$20000,"SCRAP")-SUMIFS(Movements!$D$2:$D$20000,Movements!$B$2:$B$20000,$A308,Movements!$C$2:$C$20000,"ADJUST-")</f>
        <v/>
      </c>
      <c r="F308" s="16" t="n">
        <v>13</v>
      </c>
      <c r="G308" s="23">
        <f>IF($E308&lt;=0,"OUT OF STOCK",IF(AND($F308&gt;0,$E308&lt;=$F308*0.2),"LOW STOCK","IN STOCK"))</f>
        <v/>
      </c>
    </row>
    <row r="309" ht="15" customHeight="1" s="13">
      <c r="A309" s="16" t="inlineStr">
        <is>
          <t>332/T4969</t>
        </is>
      </c>
      <c r="B309" s="16" t="inlineStr">
        <is>
          <t>Cavity Plug Superseal 1.0 White</t>
        </is>
      </c>
      <c r="C309" s="16" t="inlineStr">
        <is>
          <t>NO</t>
        </is>
      </c>
      <c r="D309" s="16" t="inlineStr">
        <is>
          <t>seal box</t>
        </is>
      </c>
      <c r="E309" s="22">
        <f>SUMIFS(Movements!$D$2:$D$20000,Movements!$B$2:$B$20000,$A309,Movements!$C$2:$C$20000,"RECEIPT")+SUMIFS(Movements!$D$2:$D$20000,Movements!$B$2:$B$20000,$A309,Movements!$C$2:$C$20000,"RETURN")+SUMIFS(Movements!$D$2:$D$20000,Movements!$B$2:$B$20000,$A309,Movements!$C$2:$C$20000,"ADJUST+")-SUMIFS(Movements!$D$2:$D$20000,Movements!$B$2:$B$20000,$A309,Movements!$C$2:$C$20000,"ISSUE")-SUMIFS(Movements!$D$2:$D$20000,Movements!$B$2:$B$20000,$A309,Movements!$C$2:$C$20000,"SCRAP")-SUMIFS(Movements!$D$2:$D$20000,Movements!$B$2:$B$20000,$A309,Movements!$C$2:$C$20000,"ADJUST-")</f>
        <v/>
      </c>
      <c r="F309" s="16" t="n">
        <v>100</v>
      </c>
      <c r="G309" s="23">
        <f>IF($E309&lt;=0,"OUT OF STOCK",IF(AND($F309&gt;0,$E309&lt;=$F309*0.2),"LOW STOCK","IN STOCK"))</f>
        <v/>
      </c>
    </row>
    <row r="310" ht="15" customHeight="1" s="13">
      <c r="A310" s="16" t="inlineStr">
        <is>
          <t>7213/0007</t>
        </is>
      </c>
      <c r="B310" s="16" t="inlineStr">
        <is>
          <t>3 Way HW090 Socket Retainer</t>
        </is>
      </c>
      <c r="C310" s="16" t="inlineStr">
        <is>
          <t>NO</t>
        </is>
      </c>
      <c r="D310" s="16" t="inlineStr">
        <is>
          <t>L-2</t>
        </is>
      </c>
      <c r="E310" s="22">
        <f>SUMIFS(Movements!$D$2:$D$20000,Movements!$B$2:$B$20000,$A310,Movements!$C$2:$C$20000,"RECEIPT")+SUMIFS(Movements!$D$2:$D$20000,Movements!$B$2:$B$20000,$A310,Movements!$C$2:$C$20000,"RETURN")+SUMIFS(Movements!$D$2:$D$20000,Movements!$B$2:$B$20000,$A310,Movements!$C$2:$C$20000,"ADJUST+")-SUMIFS(Movements!$D$2:$D$20000,Movements!$B$2:$B$20000,$A310,Movements!$C$2:$C$20000,"ISSUE")-SUMIFS(Movements!$D$2:$D$20000,Movements!$B$2:$B$20000,$A310,Movements!$C$2:$C$20000,"SCRAP")-SUMIFS(Movements!$D$2:$D$20000,Movements!$B$2:$B$20000,$A310,Movements!$C$2:$C$20000,"ADJUST-")</f>
        <v/>
      </c>
      <c r="F310" s="16" t="n">
        <v>12</v>
      </c>
      <c r="G310" s="23">
        <f>IF($E310&lt;=0,"OUT OF STOCK",IF(AND($F310&gt;0,$E310&lt;=$F310*0.2),"LOW STOCK","IN STOCK"))</f>
        <v/>
      </c>
    </row>
    <row r="311" ht="15" customHeight="1" s="13">
      <c r="A311" s="16" t="inlineStr">
        <is>
          <t>701/E0033</t>
        </is>
      </c>
      <c r="B311" s="16" t="inlineStr">
        <is>
          <t>Carling Switch</t>
        </is>
      </c>
      <c r="C311" s="16" t="inlineStr">
        <is>
          <t>NO</t>
        </is>
      </c>
      <c r="D311" s="16" t="inlineStr">
        <is>
          <t>D2-2</t>
        </is>
      </c>
      <c r="E311" s="22">
        <f>SUMIFS(Movements!$D$2:$D$20000,Movements!$B$2:$B$20000,$A311,Movements!$C$2:$C$20000,"RECEIPT")+SUMIFS(Movements!$D$2:$D$20000,Movements!$B$2:$B$20000,$A311,Movements!$C$2:$C$20000,"RETURN")+SUMIFS(Movements!$D$2:$D$20000,Movements!$B$2:$B$20000,$A311,Movements!$C$2:$C$20000,"ADJUST+")-SUMIFS(Movements!$D$2:$D$20000,Movements!$B$2:$B$20000,$A311,Movements!$C$2:$C$20000,"ISSUE")-SUMIFS(Movements!$D$2:$D$20000,Movements!$B$2:$B$20000,$A311,Movements!$C$2:$C$20000,"SCRAP")-SUMIFS(Movements!$D$2:$D$20000,Movements!$B$2:$B$20000,$A311,Movements!$C$2:$C$20000,"ADJUST-")</f>
        <v/>
      </c>
      <c r="F311" s="16" t="n">
        <v>2</v>
      </c>
      <c r="G311" s="23">
        <f>IF($E311&lt;=0,"OUT OF STOCK",IF(AND($F311&gt;0,$E311&lt;=$F311*0.2),"LOW STOCK","IN STOCK"))</f>
        <v/>
      </c>
    </row>
    <row r="312" ht="15" customHeight="1" s="13">
      <c r="A312" s="16" t="inlineStr">
        <is>
          <t>778-6714</t>
        </is>
      </c>
      <c r="B312" s="16" t="n"/>
      <c r="C312" s="16" t="inlineStr">
        <is>
          <t>NO</t>
        </is>
      </c>
      <c r="D312" s="16" t="n"/>
      <c r="E312" s="22">
        <f>SUMIFS(Movements!$D$2:$D$20000,Movements!$B$2:$B$20000,$A312,Movements!$C$2:$C$20000,"RECEIPT")+SUMIFS(Movements!$D$2:$D$20000,Movements!$B$2:$B$20000,$A312,Movements!$C$2:$C$20000,"RETURN")+SUMIFS(Movements!$D$2:$D$20000,Movements!$B$2:$B$20000,$A312,Movements!$C$2:$C$20000,"ADJUST+")-SUMIFS(Movements!$D$2:$D$20000,Movements!$B$2:$B$20000,$A312,Movements!$C$2:$C$20000,"ISSUE")-SUMIFS(Movements!$D$2:$D$20000,Movements!$B$2:$B$20000,$A312,Movements!$C$2:$C$20000,"SCRAP")-SUMIFS(Movements!$D$2:$D$20000,Movements!$B$2:$B$20000,$A312,Movements!$C$2:$C$20000,"ADJUST-")</f>
        <v/>
      </c>
      <c r="F312" s="16" t="n">
        <v>100</v>
      </c>
      <c r="G312" s="23">
        <f>IF($E312&lt;=0,"OUT OF STOCK",IF(AND($F312&gt;0,$E312&lt;=$F312*0.2),"LOW STOCK","IN STOCK"))</f>
        <v/>
      </c>
    </row>
    <row r="313" ht="15" customHeight="1" s="13">
      <c r="A313" s="16" t="inlineStr">
        <is>
          <t>701/4887</t>
        </is>
      </c>
      <c r="B313" s="16" t="n"/>
      <c r="C313" s="16" t="inlineStr">
        <is>
          <t>NO</t>
        </is>
      </c>
      <c r="D313" s="16" t="n"/>
      <c r="E313" s="22">
        <f>SUMIFS(Movements!$D$2:$D$20000,Movements!$B$2:$B$20000,$A313,Movements!$C$2:$C$20000,"RECEIPT")+SUMIFS(Movements!$D$2:$D$20000,Movements!$B$2:$B$20000,$A313,Movements!$C$2:$C$20000,"RETURN")+SUMIFS(Movements!$D$2:$D$20000,Movements!$B$2:$B$20000,$A313,Movements!$C$2:$C$20000,"ADJUST+")-SUMIFS(Movements!$D$2:$D$20000,Movements!$B$2:$B$20000,$A313,Movements!$C$2:$C$20000,"ISSUE")-SUMIFS(Movements!$D$2:$D$20000,Movements!$B$2:$B$20000,$A313,Movements!$C$2:$C$20000,"SCRAP")-SUMIFS(Movements!$D$2:$D$20000,Movements!$B$2:$B$20000,$A313,Movements!$C$2:$C$20000,"ADJUST-")</f>
        <v/>
      </c>
      <c r="F313" s="16" t="n">
        <v>4</v>
      </c>
      <c r="G313" s="23">
        <f>IF($E313&lt;=0,"OUT OF STOCK",IF(AND($F313&gt;0,$E313&lt;=$F313*0.2),"LOW STOCK","IN STOCK"))</f>
        <v/>
      </c>
    </row>
    <row r="314" ht="15" customHeight="1" s="13">
      <c r="A314" s="16" t="inlineStr">
        <is>
          <t>701/80265</t>
        </is>
      </c>
      <c r="B314" s="16" t="n"/>
      <c r="C314" s="16" t="inlineStr">
        <is>
          <t>NO</t>
        </is>
      </c>
      <c r="D314" s="16" t="inlineStr">
        <is>
          <t>D2-2</t>
        </is>
      </c>
      <c r="E314" s="22">
        <f>SUMIFS(Movements!$D$2:$D$20000,Movements!$B$2:$B$20000,$A314,Movements!$C$2:$C$20000,"RECEIPT")+SUMIFS(Movements!$D$2:$D$20000,Movements!$B$2:$B$20000,$A314,Movements!$C$2:$C$20000,"RETURN")+SUMIFS(Movements!$D$2:$D$20000,Movements!$B$2:$B$20000,$A314,Movements!$C$2:$C$20000,"ADJUST+")-SUMIFS(Movements!$D$2:$D$20000,Movements!$B$2:$B$20000,$A314,Movements!$C$2:$C$20000,"ISSUE")-SUMIFS(Movements!$D$2:$D$20000,Movements!$B$2:$B$20000,$A314,Movements!$C$2:$C$20000,"SCRAP")-SUMIFS(Movements!$D$2:$D$20000,Movements!$B$2:$B$20000,$A314,Movements!$C$2:$C$20000,"ADJUST-")</f>
        <v/>
      </c>
      <c r="F314" s="16" t="n">
        <v>6</v>
      </c>
      <c r="G314" s="23">
        <f>IF($E314&lt;=0,"OUT OF STOCK",IF(AND($F314&gt;0,$E314&lt;=$F314*0.2),"LOW STOCK","IN STOCK"))</f>
        <v/>
      </c>
    </row>
    <row r="315" ht="15" customHeight="1" s="13">
      <c r="A315" s="16" t="inlineStr">
        <is>
          <t>701/E0030</t>
        </is>
      </c>
      <c r="B315" s="16" t="n"/>
      <c r="C315" s="16" t="inlineStr">
        <is>
          <t>NO</t>
        </is>
      </c>
      <c r="D315" s="16" t="n"/>
      <c r="E315" s="22">
        <f>SUMIFS(Movements!$D$2:$D$20000,Movements!$B$2:$B$20000,$A315,Movements!$C$2:$C$20000,"RECEIPT")+SUMIFS(Movements!$D$2:$D$20000,Movements!$B$2:$B$20000,$A315,Movements!$C$2:$C$20000,"RETURN")+SUMIFS(Movements!$D$2:$D$20000,Movements!$B$2:$B$20000,$A315,Movements!$C$2:$C$20000,"ADJUST+")-SUMIFS(Movements!$D$2:$D$20000,Movements!$B$2:$B$20000,$A315,Movements!$C$2:$C$20000,"ISSUE")-SUMIFS(Movements!$D$2:$D$20000,Movements!$B$2:$B$20000,$A315,Movements!$C$2:$C$20000,"SCRAP")-SUMIFS(Movements!$D$2:$D$20000,Movements!$B$2:$B$20000,$A315,Movements!$C$2:$C$20000,"ADJUST-")</f>
        <v/>
      </c>
      <c r="F315" s="16" t="n">
        <v>4</v>
      </c>
      <c r="G315" s="23">
        <f>IF($E315&lt;=0,"OUT OF STOCK",IF(AND($F315&gt;0,$E315&lt;=$F315*0.2),"LOW STOCK","IN STOCK"))</f>
        <v/>
      </c>
    </row>
    <row r="316" ht="15" customHeight="1" s="13">
      <c r="A316" s="16" t="inlineStr">
        <is>
          <t>701/L4880</t>
        </is>
      </c>
      <c r="B316" s="16" t="n"/>
      <c r="C316" s="16" t="inlineStr">
        <is>
          <t>NO</t>
        </is>
      </c>
      <c r="D316" s="16" t="n"/>
      <c r="E316" s="22">
        <f>SUMIFS(Movements!$D$2:$D$20000,Movements!$B$2:$B$20000,$A316,Movements!$C$2:$C$20000,"RECEIPT")+SUMIFS(Movements!$D$2:$D$20000,Movements!$B$2:$B$20000,$A316,Movements!$C$2:$C$20000,"RETURN")+SUMIFS(Movements!$D$2:$D$20000,Movements!$B$2:$B$20000,$A316,Movements!$C$2:$C$20000,"ADJUST+")-SUMIFS(Movements!$D$2:$D$20000,Movements!$B$2:$B$20000,$A316,Movements!$C$2:$C$20000,"ISSUE")-SUMIFS(Movements!$D$2:$D$20000,Movements!$B$2:$B$20000,$A316,Movements!$C$2:$C$20000,"SCRAP")-SUMIFS(Movements!$D$2:$D$20000,Movements!$B$2:$B$20000,$A316,Movements!$C$2:$C$20000,"ADJUST-")</f>
        <v/>
      </c>
      <c r="F316" s="16" t="n">
        <v>2</v>
      </c>
      <c r="G316" s="23">
        <f>IF($E316&lt;=0,"OUT OF STOCK",IF(AND($F316&gt;0,$E316&lt;=$F316*0.2),"LOW STOCK","IN STOCK"))</f>
        <v/>
      </c>
    </row>
    <row r="317" ht="15" customHeight="1" s="13">
      <c r="A317" s="16" t="inlineStr">
        <is>
          <t>7212/0204</t>
        </is>
      </c>
      <c r="B317" s="16" t="inlineStr">
        <is>
          <t>2 Way DT04 Pin HSG Snap Cap</t>
        </is>
      </c>
      <c r="C317" s="16" t="inlineStr">
        <is>
          <t>NO</t>
        </is>
      </c>
      <c r="D317" s="16" t="inlineStr">
        <is>
          <t>D1-3</t>
        </is>
      </c>
      <c r="E317" s="22">
        <f>SUMIFS(Movements!$D$2:$D$20000,Movements!$B$2:$B$20000,$A317,Movements!$C$2:$C$20000,"RECEIPT")+SUMIFS(Movements!$D$2:$D$20000,Movements!$B$2:$B$20000,$A317,Movements!$C$2:$C$20000,"RETURN")+SUMIFS(Movements!$D$2:$D$20000,Movements!$B$2:$B$20000,$A317,Movements!$C$2:$C$20000,"ADJUST+")-SUMIFS(Movements!$D$2:$D$20000,Movements!$B$2:$B$20000,$A317,Movements!$C$2:$C$20000,"ISSUE")-SUMIFS(Movements!$D$2:$D$20000,Movements!$B$2:$B$20000,$A317,Movements!$C$2:$C$20000,"SCRAP")-SUMIFS(Movements!$D$2:$D$20000,Movements!$B$2:$B$20000,$A317,Movements!$C$2:$C$20000,"ADJUST-")</f>
        <v/>
      </c>
      <c r="F317" s="16" t="n">
        <v>5</v>
      </c>
      <c r="G317" s="23">
        <f>IF($E317&lt;=0,"OUT OF STOCK",IF(AND($F317&gt;0,$E317&lt;=$F317*0.2),"LOW STOCK","IN STOCK"))</f>
        <v/>
      </c>
    </row>
    <row r="318" ht="15" customHeight="1" s="13">
      <c r="A318" s="16" t="inlineStr">
        <is>
          <t>7232/0023</t>
        </is>
      </c>
      <c r="B318" s="16" t="n"/>
      <c r="C318" s="16" t="inlineStr">
        <is>
          <t>NO</t>
        </is>
      </c>
      <c r="D318" s="16" t="inlineStr">
        <is>
          <t>L-4</t>
        </is>
      </c>
      <c r="E318" s="22">
        <f>SUMIFS(Movements!$D$2:$D$20000,Movements!$B$2:$B$20000,$A318,Movements!$C$2:$C$20000,"RECEIPT")+SUMIFS(Movements!$D$2:$D$20000,Movements!$B$2:$B$20000,$A318,Movements!$C$2:$C$20000,"RETURN")+SUMIFS(Movements!$D$2:$D$20000,Movements!$B$2:$B$20000,$A318,Movements!$C$2:$C$20000,"ADJUST+")-SUMIFS(Movements!$D$2:$D$20000,Movements!$B$2:$B$20000,$A318,Movements!$C$2:$C$20000,"ISSUE")-SUMIFS(Movements!$D$2:$D$20000,Movements!$B$2:$B$20000,$A318,Movements!$C$2:$C$20000,"SCRAP")-SUMIFS(Movements!$D$2:$D$20000,Movements!$B$2:$B$20000,$A318,Movements!$C$2:$C$20000,"ADJUST-")</f>
        <v/>
      </c>
      <c r="F318" s="16" t="n">
        <v>30</v>
      </c>
      <c r="G318" s="23">
        <f>IF($E318&lt;=0,"OUT OF STOCK",IF(AND($F318&gt;0,$E318&lt;=$F318*0.2),"LOW STOCK","IN STOCK"))</f>
        <v/>
      </c>
    </row>
    <row r="319" ht="15" customHeight="1" s="13">
      <c r="A319" s="16" t="inlineStr">
        <is>
          <t>7216/0017</t>
        </is>
      </c>
      <c r="B319" s="16" t="n"/>
      <c r="C319" s="16" t="inlineStr">
        <is>
          <t>NO</t>
        </is>
      </c>
      <c r="D319" s="16" t="inlineStr">
        <is>
          <t>L-1</t>
        </is>
      </c>
      <c r="E319" s="22">
        <f>SUMIFS(Movements!$D$2:$D$20000,Movements!$B$2:$B$20000,$A319,Movements!$C$2:$C$20000,"RECEIPT")+SUMIFS(Movements!$D$2:$D$20000,Movements!$B$2:$B$20000,$A319,Movements!$C$2:$C$20000,"RETURN")+SUMIFS(Movements!$D$2:$D$20000,Movements!$B$2:$B$20000,$A319,Movements!$C$2:$C$20000,"ADJUST+")-SUMIFS(Movements!$D$2:$D$20000,Movements!$B$2:$B$20000,$A319,Movements!$C$2:$C$20000,"ISSUE")-SUMIFS(Movements!$D$2:$D$20000,Movements!$B$2:$B$20000,$A319,Movements!$C$2:$C$20000,"SCRAP")-SUMIFS(Movements!$D$2:$D$20000,Movements!$B$2:$B$20000,$A319,Movements!$C$2:$C$20000,"ADJUST-")</f>
        <v/>
      </c>
      <c r="F319" s="16" t="n">
        <v>24</v>
      </c>
      <c r="G319" s="23">
        <f>IF($E319&lt;=0,"OUT OF STOCK",IF(AND($F319&gt;0,$E319&lt;=$F319*0.2),"LOW STOCK","IN STOCK"))</f>
        <v/>
      </c>
    </row>
    <row r="320" ht="15" customHeight="1" s="13">
      <c r="A320" s="16" t="inlineStr">
        <is>
          <t>7216/0016</t>
        </is>
      </c>
      <c r="B320" s="16" t="inlineStr">
        <is>
          <t>6 Way DT06 Wedge</t>
        </is>
      </c>
      <c r="C320" s="16" t="inlineStr">
        <is>
          <t>NO</t>
        </is>
      </c>
      <c r="D320" s="16" t="inlineStr">
        <is>
          <t>EMC-05</t>
        </is>
      </c>
      <c r="E320" s="22">
        <f>SUMIFS(Movements!$D$2:$D$20000,Movements!$B$2:$B$20000,$A320,Movements!$C$2:$C$20000,"RECEIPT")+SUMIFS(Movements!$D$2:$D$20000,Movements!$B$2:$B$20000,$A320,Movements!$C$2:$C$20000,"RETURN")+SUMIFS(Movements!$D$2:$D$20000,Movements!$B$2:$B$20000,$A320,Movements!$C$2:$C$20000,"ADJUST+")-SUMIFS(Movements!$D$2:$D$20000,Movements!$B$2:$B$20000,$A320,Movements!$C$2:$C$20000,"ISSUE")-SUMIFS(Movements!$D$2:$D$20000,Movements!$B$2:$B$20000,$A320,Movements!$C$2:$C$20000,"SCRAP")-SUMIFS(Movements!$D$2:$D$20000,Movements!$B$2:$B$20000,$A320,Movements!$C$2:$C$20000,"ADJUST-")</f>
        <v/>
      </c>
      <c r="F320" s="16" t="n">
        <v>15</v>
      </c>
      <c r="G320" s="23">
        <f>IF($E320&lt;=0,"OUT OF STOCK",IF(AND($F320&gt;0,$E320&lt;=$F320*0.2),"LOW STOCK","IN STOCK"))</f>
        <v/>
      </c>
    </row>
    <row r="321" ht="15" customHeight="1" s="13">
      <c r="A321" s="16" t="inlineStr">
        <is>
          <t>7218/0009</t>
        </is>
      </c>
      <c r="B321" s="16" t="inlineStr">
        <is>
          <t>8 Way DT06 Wedge</t>
        </is>
      </c>
      <c r="C321" s="16" t="inlineStr">
        <is>
          <t>NO</t>
        </is>
      </c>
      <c r="D321" s="16" t="inlineStr">
        <is>
          <t>EMC-05</t>
        </is>
      </c>
      <c r="E321" s="22">
        <f>SUMIFS(Movements!$D$2:$D$20000,Movements!$B$2:$B$20000,$A321,Movements!$C$2:$C$20000,"RECEIPT")+SUMIFS(Movements!$D$2:$D$20000,Movements!$B$2:$B$20000,$A321,Movements!$C$2:$C$20000,"RETURN")+SUMIFS(Movements!$D$2:$D$20000,Movements!$B$2:$B$20000,$A321,Movements!$C$2:$C$20000,"ADJUST+")-SUMIFS(Movements!$D$2:$D$20000,Movements!$B$2:$B$20000,$A321,Movements!$C$2:$C$20000,"ISSUE")-SUMIFS(Movements!$D$2:$D$20000,Movements!$B$2:$B$20000,$A321,Movements!$C$2:$C$20000,"SCRAP")-SUMIFS(Movements!$D$2:$D$20000,Movements!$B$2:$B$20000,$A321,Movements!$C$2:$C$20000,"ADJUST-")</f>
        <v/>
      </c>
      <c r="F321" s="16" t="n">
        <v>15</v>
      </c>
      <c r="G321" s="23">
        <f>IF($E321&lt;=0,"OUT OF STOCK",IF(AND($F321&gt;0,$E321&lt;=$F321*0.2),"LOW STOCK","IN STOCK"))</f>
        <v/>
      </c>
    </row>
    <row r="322" ht="15" customHeight="1" s="13">
      <c r="A322" s="16" t="inlineStr">
        <is>
          <t>7214/0027</t>
        </is>
      </c>
      <c r="B322" s="16" t="inlineStr">
        <is>
          <t>4 Way DTM06 Socket Housing</t>
        </is>
      </c>
      <c r="C322" s="16" t="inlineStr">
        <is>
          <t>NO</t>
        </is>
      </c>
      <c r="D322" s="16" t="inlineStr">
        <is>
          <t>EMC-05</t>
        </is>
      </c>
      <c r="E322" s="22">
        <f>SUMIFS(Movements!$D$2:$D$20000,Movements!$B$2:$B$20000,$A322,Movements!$C$2:$C$20000,"RECEIPT")+SUMIFS(Movements!$D$2:$D$20000,Movements!$B$2:$B$20000,$A322,Movements!$C$2:$C$20000,"RETURN")+SUMIFS(Movements!$D$2:$D$20000,Movements!$B$2:$B$20000,$A322,Movements!$C$2:$C$20000,"ADJUST+")-SUMIFS(Movements!$D$2:$D$20000,Movements!$B$2:$B$20000,$A322,Movements!$C$2:$C$20000,"ISSUE")-SUMIFS(Movements!$D$2:$D$20000,Movements!$B$2:$B$20000,$A322,Movements!$C$2:$C$20000,"SCRAP")-SUMIFS(Movements!$D$2:$D$20000,Movements!$B$2:$B$20000,$A322,Movements!$C$2:$C$20000,"ADJUST-")</f>
        <v/>
      </c>
      <c r="F322" s="16" t="n">
        <v>10</v>
      </c>
      <c r="G322" s="23">
        <f>IF($E322&lt;=0,"OUT OF STOCK",IF(AND($F322&gt;0,$E322&lt;=$F322*0.2),"LOW STOCK","IN STOCK"))</f>
        <v/>
      </c>
    </row>
    <row r="323" ht="15" customHeight="1" s="13">
      <c r="A323" s="16" t="inlineStr">
        <is>
          <t>7219/0273</t>
        </is>
      </c>
      <c r="B323" s="16" t="inlineStr">
        <is>
          <t>9 WAY FEM DIAGNOSTIC SKT J1939</t>
        </is>
      </c>
      <c r="C323" s="16" t="inlineStr">
        <is>
          <t>NO</t>
        </is>
      </c>
      <c r="D323" s="16" t="inlineStr">
        <is>
          <t>EMC-05</t>
        </is>
      </c>
      <c r="E323" s="22">
        <f>SUMIFS(Movements!$D$2:$D$20000,Movements!$B$2:$B$20000,$A323,Movements!$C$2:$C$20000,"RECEIPT")+SUMIFS(Movements!$D$2:$D$20000,Movements!$B$2:$B$20000,$A323,Movements!$C$2:$C$20000,"RETURN")+SUMIFS(Movements!$D$2:$D$20000,Movements!$B$2:$B$20000,$A323,Movements!$C$2:$C$20000,"ADJUST+")-SUMIFS(Movements!$D$2:$D$20000,Movements!$B$2:$B$20000,$A323,Movements!$C$2:$C$20000,"ISSUE")-SUMIFS(Movements!$D$2:$D$20000,Movements!$B$2:$B$20000,$A323,Movements!$C$2:$C$20000,"SCRAP")-SUMIFS(Movements!$D$2:$D$20000,Movements!$B$2:$B$20000,$A323,Movements!$C$2:$C$20000,"ADJUST-")</f>
        <v/>
      </c>
      <c r="F323" s="16" t="n">
        <v>10</v>
      </c>
      <c r="G323" s="23">
        <f>IF($E323&lt;=0,"OUT OF STOCK",IF(AND($F323&gt;0,$E323&lt;=$F323*0.2),"LOW STOCK","IN STOCK"))</f>
        <v/>
      </c>
    </row>
    <row r="324" ht="15" customHeight="1" s="13">
      <c r="A324" s="16" t="inlineStr">
        <is>
          <t>7214/0032</t>
        </is>
      </c>
      <c r="B324" s="16" t="inlineStr">
        <is>
          <t>4 Way DTP06 Wedge</t>
        </is>
      </c>
      <c r="C324" s="16" t="inlineStr">
        <is>
          <t>NO</t>
        </is>
      </c>
      <c r="D324" s="16" t="inlineStr">
        <is>
          <t>EMC-05</t>
        </is>
      </c>
      <c r="E324" s="22">
        <f>SUMIFS(Movements!$D$2:$D$20000,Movements!$B$2:$B$20000,$A324,Movements!$C$2:$C$20000,"RECEIPT")+SUMIFS(Movements!$D$2:$D$20000,Movements!$B$2:$B$20000,$A324,Movements!$C$2:$C$20000,"RETURN")+SUMIFS(Movements!$D$2:$D$20000,Movements!$B$2:$B$20000,$A324,Movements!$C$2:$C$20000,"ADJUST+")-SUMIFS(Movements!$D$2:$D$20000,Movements!$B$2:$B$20000,$A324,Movements!$C$2:$C$20000,"ISSUE")-SUMIFS(Movements!$D$2:$D$20000,Movements!$B$2:$B$20000,$A324,Movements!$C$2:$C$20000,"SCRAP")-SUMIFS(Movements!$D$2:$D$20000,Movements!$B$2:$B$20000,$A324,Movements!$C$2:$C$20000,"ADJUST-")</f>
        <v/>
      </c>
      <c r="F324" s="16" t="n">
        <v>10</v>
      </c>
      <c r="G324" s="23">
        <f>IF($E324&lt;=0,"OUT OF STOCK",IF(AND($F324&gt;0,$E324&lt;=$F324*0.2),"LOW STOCK","IN STOCK"))</f>
        <v/>
      </c>
    </row>
    <row r="325" ht="15" customHeight="1" s="13">
      <c r="A325" s="16" t="inlineStr">
        <is>
          <t>7220/0054</t>
        </is>
      </c>
      <c r="B325" s="16" t="inlineStr">
        <is>
          <t>29 Way HDP Free Socket Housing</t>
        </is>
      </c>
      <c r="C325" s="16" t="inlineStr">
        <is>
          <t>NO</t>
        </is>
      </c>
      <c r="D325" s="16" t="inlineStr">
        <is>
          <t>EMC-05</t>
        </is>
      </c>
      <c r="E325" s="22">
        <f>SUMIFS(Movements!$D$2:$D$20000,Movements!$B$2:$B$20000,$A325,Movements!$C$2:$C$20000,"RECEIPT")+SUMIFS(Movements!$D$2:$D$20000,Movements!$B$2:$B$20000,$A325,Movements!$C$2:$C$20000,"RETURN")+SUMIFS(Movements!$D$2:$D$20000,Movements!$B$2:$B$20000,$A325,Movements!$C$2:$C$20000,"ADJUST+")-SUMIFS(Movements!$D$2:$D$20000,Movements!$B$2:$B$20000,$A325,Movements!$C$2:$C$20000,"ISSUE")-SUMIFS(Movements!$D$2:$D$20000,Movements!$B$2:$B$20000,$A325,Movements!$C$2:$C$20000,"SCRAP")-SUMIFS(Movements!$D$2:$D$20000,Movements!$B$2:$B$20000,$A325,Movements!$C$2:$C$20000,"ADJUST-")</f>
        <v/>
      </c>
      <c r="F325" s="16" t="n">
        <v>5</v>
      </c>
      <c r="G325" s="23">
        <f>IF($E325&lt;=0,"OUT OF STOCK",IF(AND($F325&gt;0,$E325&lt;=$F325*0.2),"LOW STOCK","IN STOCK"))</f>
        <v/>
      </c>
    </row>
    <row r="326" ht="15" customHeight="1" s="13">
      <c r="A326" s="16" t="inlineStr">
        <is>
          <t>402/R5392</t>
        </is>
      </c>
      <c r="B326" s="16" t="inlineStr">
        <is>
          <t>ROTARY ENCODER</t>
        </is>
      </c>
      <c r="C326" s="16" t="inlineStr">
        <is>
          <t>NO</t>
        </is>
      </c>
      <c r="D326" s="16" t="n"/>
      <c r="E326" s="22">
        <f>SUMIFS(Movements!$D$2:$D$20000,Movements!$B$2:$B$20000,$A326,Movements!$C$2:$C$20000,"RECEIPT")+SUMIFS(Movements!$D$2:$D$20000,Movements!$B$2:$B$20000,$A326,Movements!$C$2:$C$20000,"RETURN")+SUMIFS(Movements!$D$2:$D$20000,Movements!$B$2:$B$20000,$A326,Movements!$C$2:$C$20000,"ADJUST+")-SUMIFS(Movements!$D$2:$D$20000,Movements!$B$2:$B$20000,$A326,Movements!$C$2:$C$20000,"ISSUE")-SUMIFS(Movements!$D$2:$D$20000,Movements!$B$2:$B$20000,$A326,Movements!$C$2:$C$20000,"SCRAP")-SUMIFS(Movements!$D$2:$D$20000,Movements!$B$2:$B$20000,$A326,Movements!$C$2:$C$20000,"ADJUST-")</f>
        <v/>
      </c>
      <c r="F326" s="16" t="n">
        <v>1</v>
      </c>
      <c r="G326" s="23">
        <f>IF($E326&lt;=0,"OUT OF STOCK",IF(AND($F326&gt;0,$E326&lt;=$F326*0.2),"LOW STOCK","IN STOCK"))</f>
        <v/>
      </c>
    </row>
    <row r="327" ht="15" customHeight="1" s="13">
      <c r="A327" s="16" t="inlineStr">
        <is>
          <t>402/RX2039</t>
        </is>
      </c>
      <c r="B327" s="16" t="inlineStr">
        <is>
          <t>ELEC HARNESS USB FLASHING</t>
        </is>
      </c>
      <c r="C327" s="16" t="inlineStr">
        <is>
          <t>NO</t>
        </is>
      </c>
      <c r="D327" s="16" t="n"/>
      <c r="E327" s="22">
        <f>SUMIFS(Movements!$D$2:$D$20000,Movements!$B$2:$B$20000,$A327,Movements!$C$2:$C$20000,"RECEIPT")+SUMIFS(Movements!$D$2:$D$20000,Movements!$B$2:$B$20000,$A327,Movements!$C$2:$C$20000,"RETURN")+SUMIFS(Movements!$D$2:$D$20000,Movements!$B$2:$B$20000,$A327,Movements!$C$2:$C$20000,"ADJUST+")-SUMIFS(Movements!$D$2:$D$20000,Movements!$B$2:$B$20000,$A327,Movements!$C$2:$C$20000,"ISSUE")-SUMIFS(Movements!$D$2:$D$20000,Movements!$B$2:$B$20000,$A327,Movements!$C$2:$C$20000,"SCRAP")-SUMIFS(Movements!$D$2:$D$20000,Movements!$B$2:$B$20000,$A327,Movements!$C$2:$C$20000,"ADJUST-")</f>
        <v/>
      </c>
      <c r="F327" s="16" t="n">
        <v>1</v>
      </c>
      <c r="G327" s="23">
        <f>IF($E327&lt;=0,"OUT OF STOCK",IF(AND($F327&gt;0,$E327&lt;=$F327*0.2),"LOW STOCK","IN STOCK"))</f>
        <v/>
      </c>
    </row>
    <row r="328" ht="15" customHeight="1" s="13">
      <c r="A328" s="16" t="inlineStr">
        <is>
          <t>402/R5384</t>
        </is>
      </c>
      <c r="B328" s="16" t="inlineStr">
        <is>
          <t>24V CM2723 ECU HARDWARE</t>
        </is>
      </c>
      <c r="C328" s="16" t="inlineStr">
        <is>
          <t>NO</t>
        </is>
      </c>
      <c r="D328" s="16" t="n"/>
      <c r="E328" s="22">
        <f>SUMIFS(Movements!$D$2:$D$20000,Movements!$B$2:$B$20000,$A328,Movements!$C$2:$C$20000,"RECEIPT")+SUMIFS(Movements!$D$2:$D$20000,Movements!$B$2:$B$20000,$A328,Movements!$C$2:$C$20000,"RETURN")+SUMIFS(Movements!$D$2:$D$20000,Movements!$B$2:$B$20000,$A328,Movements!$C$2:$C$20000,"ADJUST+")-SUMIFS(Movements!$D$2:$D$20000,Movements!$B$2:$B$20000,$A328,Movements!$C$2:$C$20000,"ISSUE")-SUMIFS(Movements!$D$2:$D$20000,Movements!$B$2:$B$20000,$A328,Movements!$C$2:$C$20000,"SCRAP")-SUMIFS(Movements!$D$2:$D$20000,Movements!$B$2:$B$20000,$A328,Movements!$C$2:$C$20000,"ADJUST-")</f>
        <v/>
      </c>
      <c r="F328" s="16" t="n">
        <v>3</v>
      </c>
      <c r="G328" s="23">
        <f>IF($E328&lt;=0,"OUT OF STOCK",IF(AND($F328&gt;0,$E328&lt;=$F328*0.2),"LOW STOCK","IN STOCK"))</f>
        <v/>
      </c>
    </row>
    <row r="329" ht="15" customHeight="1" s="13">
      <c r="A329" s="16" t="inlineStr">
        <is>
          <t>334/E1468</t>
        </is>
      </c>
      <c r="B329" s="16" t="inlineStr">
        <is>
          <t>ABI RH PROP CTRL VALV JOYSTICK(P545)</t>
        </is>
      </c>
      <c r="C329" s="16" t="inlineStr">
        <is>
          <t>NO</t>
        </is>
      </c>
      <c r="D329" s="16" t="n"/>
      <c r="E329" s="22">
        <f>SUMIFS(Movements!$D$2:$D$20000,Movements!$B$2:$B$20000,$A329,Movements!$C$2:$C$20000,"RECEIPT")+SUMIFS(Movements!$D$2:$D$20000,Movements!$B$2:$B$20000,$A329,Movements!$C$2:$C$20000,"RETURN")+SUMIFS(Movements!$D$2:$D$20000,Movements!$B$2:$B$20000,$A329,Movements!$C$2:$C$20000,"ADJUST+")-SUMIFS(Movements!$D$2:$D$20000,Movements!$B$2:$B$20000,$A329,Movements!$C$2:$C$20000,"ISSUE")-SUMIFS(Movements!$D$2:$D$20000,Movements!$B$2:$B$20000,$A329,Movements!$C$2:$C$20000,"SCRAP")-SUMIFS(Movements!$D$2:$D$20000,Movements!$B$2:$B$20000,$A329,Movements!$C$2:$C$20000,"ADJUST-")</f>
        <v/>
      </c>
      <c r="F329" s="16" t="n">
        <v>1</v>
      </c>
      <c r="G329" s="23">
        <f>IF($E329&lt;=0,"OUT OF STOCK",IF(AND($F329&gt;0,$E329&lt;=$F329*0.2),"LOW STOCK","IN STOCK"))</f>
        <v/>
      </c>
    </row>
    <row r="330" ht="15" customHeight="1" s="13">
      <c r="A330" s="16" t="inlineStr">
        <is>
          <t>334/E1467</t>
        </is>
      </c>
      <c r="B330" s="16" t="inlineStr">
        <is>
          <t>ABI LH PROP CTRL VALV JOYSTICK(P545)</t>
        </is>
      </c>
      <c r="C330" s="16" t="inlineStr">
        <is>
          <t>NO</t>
        </is>
      </c>
      <c r="D330" s="16" t="n"/>
      <c r="E330" s="22">
        <f>SUMIFS(Movements!$D$2:$D$20000,Movements!$B$2:$B$20000,$A330,Movements!$C$2:$C$20000,"RECEIPT")+SUMIFS(Movements!$D$2:$D$20000,Movements!$B$2:$B$20000,$A330,Movements!$C$2:$C$20000,"RETURN")+SUMIFS(Movements!$D$2:$D$20000,Movements!$B$2:$B$20000,$A330,Movements!$C$2:$C$20000,"ADJUST+")-SUMIFS(Movements!$D$2:$D$20000,Movements!$B$2:$B$20000,$A330,Movements!$C$2:$C$20000,"ISSUE")-SUMIFS(Movements!$D$2:$D$20000,Movements!$B$2:$B$20000,$A330,Movements!$C$2:$C$20000,"SCRAP")-SUMIFS(Movements!$D$2:$D$20000,Movements!$B$2:$B$20000,$A330,Movements!$C$2:$C$20000,"ADJUST-")</f>
        <v/>
      </c>
      <c r="F330" s="16" t="n">
        <v>1</v>
      </c>
      <c r="G330" s="23">
        <f>IF($E330&lt;=0,"OUT OF STOCK",IF(AND($F330&gt;0,$E330&lt;=$F330*0.2),"LOW STOCK","IN STOCK"))</f>
        <v/>
      </c>
    </row>
    <row r="331" ht="15" customHeight="1" s="13">
      <c r="A331" s="16" t="inlineStr">
        <is>
          <t>402/R5326</t>
        </is>
      </c>
      <c r="B331" s="16" t="inlineStr">
        <is>
          <t>6 WAY SWITCH PACK</t>
        </is>
      </c>
      <c r="C331" s="16" t="inlineStr">
        <is>
          <t>NO</t>
        </is>
      </c>
      <c r="D331" s="16" t="n"/>
      <c r="E331" s="22">
        <f>SUMIFS(Movements!$D$2:$D$20000,Movements!$B$2:$B$20000,$A331,Movements!$C$2:$C$20000,"RECEIPT")+SUMIFS(Movements!$D$2:$D$20000,Movements!$B$2:$B$20000,$A331,Movements!$C$2:$C$20000,"RETURN")+SUMIFS(Movements!$D$2:$D$20000,Movements!$B$2:$B$20000,$A331,Movements!$C$2:$C$20000,"ADJUST+")-SUMIFS(Movements!$D$2:$D$20000,Movements!$B$2:$B$20000,$A331,Movements!$C$2:$C$20000,"ISSUE")-SUMIFS(Movements!$D$2:$D$20000,Movements!$B$2:$B$20000,$A331,Movements!$C$2:$C$20000,"SCRAP")-SUMIFS(Movements!$D$2:$D$20000,Movements!$B$2:$B$20000,$A331,Movements!$C$2:$C$20000,"ADJUST-")</f>
        <v/>
      </c>
      <c r="F331" s="16" t="n">
        <v>1</v>
      </c>
      <c r="G331" s="23">
        <f>IF($E331&lt;=0,"OUT OF STOCK",IF(AND($F331&gt;0,$E331&lt;=$F331*0.2),"LOW STOCK","IN STOCK"))</f>
        <v/>
      </c>
    </row>
    <row r="332" ht="15" customHeight="1" s="13">
      <c r="A332" s="16" t="inlineStr">
        <is>
          <t>403/W7443</t>
        </is>
      </c>
      <c r="B332" s="16" t="inlineStr">
        <is>
          <t>DISPLAY 10" COBO</t>
        </is>
      </c>
      <c r="C332" s="16" t="inlineStr">
        <is>
          <t>NO</t>
        </is>
      </c>
      <c r="D332" s="16" t="n"/>
      <c r="E332" s="22">
        <f>SUMIFS(Movements!$D$2:$D$20000,Movements!$B$2:$B$20000,$A332,Movements!$C$2:$C$20000,"RECEIPT")+SUMIFS(Movements!$D$2:$D$20000,Movements!$B$2:$B$20000,$A332,Movements!$C$2:$C$20000,"RETURN")+SUMIFS(Movements!$D$2:$D$20000,Movements!$B$2:$B$20000,$A332,Movements!$C$2:$C$20000,"ADJUST+")-SUMIFS(Movements!$D$2:$D$20000,Movements!$B$2:$B$20000,$A332,Movements!$C$2:$C$20000,"ISSUE")-SUMIFS(Movements!$D$2:$D$20000,Movements!$B$2:$B$20000,$A332,Movements!$C$2:$C$20000,"SCRAP")-SUMIFS(Movements!$D$2:$D$20000,Movements!$B$2:$B$20000,$A332,Movements!$C$2:$C$20000,"ADJUST-")</f>
        <v/>
      </c>
      <c r="F332" s="16" t="n">
        <v>1</v>
      </c>
      <c r="G332" s="23">
        <f>IF($E332&lt;=0,"OUT OF STOCK",IF(AND($F332&gt;0,$E332&lt;=$F332*0.2),"LOW STOCK","IN STOCK"))</f>
        <v/>
      </c>
    </row>
    <row r="333" ht="15" customHeight="1" s="13">
      <c r="A333" s="16" t="inlineStr">
        <is>
          <t>402/R5324</t>
        </is>
      </c>
      <c r="B333" s="16" t="inlineStr">
        <is>
          <t>ARMREST MODULE (TRACKED)</t>
        </is>
      </c>
      <c r="C333" s="16" t="inlineStr">
        <is>
          <t>NO</t>
        </is>
      </c>
      <c r="D333" s="16" t="n"/>
      <c r="E333" s="22">
        <f>SUMIFS(Movements!$D$2:$D$20000,Movements!$B$2:$B$20000,$A333,Movements!$C$2:$C$20000,"RECEIPT")+SUMIFS(Movements!$D$2:$D$20000,Movements!$B$2:$B$20000,$A333,Movements!$C$2:$C$20000,"RETURN")+SUMIFS(Movements!$D$2:$D$20000,Movements!$B$2:$B$20000,$A333,Movements!$C$2:$C$20000,"ADJUST+")-SUMIFS(Movements!$D$2:$D$20000,Movements!$B$2:$B$20000,$A333,Movements!$C$2:$C$20000,"ISSUE")-SUMIFS(Movements!$D$2:$D$20000,Movements!$B$2:$B$20000,$A333,Movements!$C$2:$C$20000,"SCRAP")-SUMIFS(Movements!$D$2:$D$20000,Movements!$B$2:$B$20000,$A333,Movements!$C$2:$C$20000,"ADJUST-")</f>
        <v/>
      </c>
      <c r="F333" s="16" t="n">
        <v>1</v>
      </c>
      <c r="G333" s="23">
        <f>IF($E333&lt;=0,"OUT OF STOCK",IF(AND($F333&gt;0,$E333&lt;=$F333*0.2),"LOW STOCK","IN STOCK"))</f>
        <v/>
      </c>
    </row>
    <row r="334" ht="15" customHeight="1" s="13">
      <c r="A334" s="16" t="inlineStr">
        <is>
          <t>728/J8518</t>
        </is>
      </c>
      <c r="B334" s="16" t="inlineStr">
        <is>
          <t>LIVELINK 4 2022 ECU 12/24</t>
        </is>
      </c>
      <c r="C334" s="16" t="inlineStr">
        <is>
          <t>NO</t>
        </is>
      </c>
      <c r="D334" s="16" t="n"/>
      <c r="E334" s="22">
        <f>SUMIFS(Movements!$D$2:$D$20000,Movements!$B$2:$B$20000,$A334,Movements!$C$2:$C$20000,"RECEIPT")+SUMIFS(Movements!$D$2:$D$20000,Movements!$B$2:$B$20000,$A334,Movements!$C$2:$C$20000,"RETURN")+SUMIFS(Movements!$D$2:$D$20000,Movements!$B$2:$B$20000,$A334,Movements!$C$2:$C$20000,"ADJUST+")-SUMIFS(Movements!$D$2:$D$20000,Movements!$B$2:$B$20000,$A334,Movements!$C$2:$C$20000,"ISSUE")-SUMIFS(Movements!$D$2:$D$20000,Movements!$B$2:$B$20000,$A334,Movements!$C$2:$C$20000,"SCRAP")-SUMIFS(Movements!$D$2:$D$20000,Movements!$B$2:$B$20000,$A334,Movements!$C$2:$C$20000,"ADJUST-")</f>
        <v/>
      </c>
      <c r="F334" s="16" t="n">
        <v>1</v>
      </c>
      <c r="G334" s="23">
        <f>IF($E334&lt;=0,"OUT OF STOCK",IF(AND($F334&gt;0,$E334&lt;=$F334*0.2),"LOW STOCK","IN STOCK"))</f>
        <v/>
      </c>
    </row>
    <row r="335" ht="15" customHeight="1" s="13">
      <c r="A335" s="16" t="inlineStr">
        <is>
          <t>MC000SCVMMMJJ002</t>
        </is>
      </c>
      <c r="B335" s="16" t="inlineStr">
        <is>
          <t>ALTEC SLI NC08 10MM FRE LENGTH</t>
        </is>
      </c>
      <c r="C335" s="16" t="inlineStr">
        <is>
          <t>NO</t>
        </is>
      </c>
      <c r="D335" s="16" t="inlineStr">
        <is>
          <t>extended area 1st floor</t>
        </is>
      </c>
      <c r="E335" s="22">
        <f>SUMIFS(Movements!$D$2:$D$20000,Movements!$B$2:$B$20000,$A335,Movements!$C$2:$C$20000,"RECEIPT")+SUMIFS(Movements!$D$2:$D$20000,Movements!$B$2:$B$20000,$A335,Movements!$C$2:$C$20000,"RETURN")+SUMIFS(Movements!$D$2:$D$20000,Movements!$B$2:$B$20000,$A335,Movements!$C$2:$C$20000,"ADJUST+")-SUMIFS(Movements!$D$2:$D$20000,Movements!$B$2:$B$20000,$A335,Movements!$C$2:$C$20000,"ISSUE")-SUMIFS(Movements!$D$2:$D$20000,Movements!$B$2:$B$20000,$A335,Movements!$C$2:$C$20000,"SCRAP")-SUMIFS(Movements!$D$2:$D$20000,Movements!$B$2:$B$20000,$A335,Movements!$C$2:$C$20000,"ADJUST-")</f>
        <v/>
      </c>
      <c r="F335" s="16" t="n">
        <v>600</v>
      </c>
      <c r="G335" s="23">
        <f>IF($E335&lt;=0,"OUT OF STOCK",IF(AND($F335&gt;0,$E335&lt;=$F335*0.2),"LOW STOCK","IN STOCK"))</f>
        <v/>
      </c>
    </row>
    <row r="336" ht="15" customHeight="1" s="13">
      <c r="A336" s="16" t="inlineStr">
        <is>
          <t>MC000SCMVAQJJ001</t>
        </is>
      </c>
      <c r="B336" s="16" t="inlineStr">
        <is>
          <t>ALTEC SLI NC16 16MM FRE OD 16MM BLK 105°</t>
        </is>
      </c>
      <c r="C336" s="16" t="inlineStr">
        <is>
          <t>NO</t>
        </is>
      </c>
      <c r="D336" s="16" t="inlineStr">
        <is>
          <t>extended area 1st floor</t>
        </is>
      </c>
      <c r="E336" s="22">
        <f>SUMIFS(Movements!$D$2:$D$20000,Movements!$B$2:$B$20000,$A336,Movements!$C$2:$C$20000,"RECEIPT")+SUMIFS(Movements!$D$2:$D$20000,Movements!$B$2:$B$20000,$A336,Movements!$C$2:$C$20000,"RETURN")+SUMIFS(Movements!$D$2:$D$20000,Movements!$B$2:$B$20000,$A336,Movements!$C$2:$C$20000,"ADJUST+")-SUMIFS(Movements!$D$2:$D$20000,Movements!$B$2:$B$20000,$A336,Movements!$C$2:$C$20000,"ISSUE")-SUMIFS(Movements!$D$2:$D$20000,Movements!$B$2:$B$20000,$A336,Movements!$C$2:$C$20000,"SCRAP")-SUMIFS(Movements!$D$2:$D$20000,Movements!$B$2:$B$20000,$A336,Movements!$C$2:$C$20000,"ADJUST-")</f>
        <v/>
      </c>
      <c r="F336" s="16" t="n">
        <v>300</v>
      </c>
      <c r="G336" s="23">
        <f>IF($E336&lt;=0,"OUT OF STOCK",IF(AND($F336&gt;0,$E336&lt;=$F336*0.2),"LOW STOCK","IN STOCK"))</f>
        <v/>
      </c>
    </row>
    <row r="337" ht="15" customHeight="1" s="13">
      <c r="A337" s="16" t="inlineStr">
        <is>
          <t>MC000SCAAYUJJ001</t>
        </is>
      </c>
      <c r="B337" s="16" t="inlineStr">
        <is>
          <t>ALTEC SLI NC20 21MM FRE 21MM BLK 105°C</t>
        </is>
      </c>
      <c r="C337" s="16" t="inlineStr">
        <is>
          <t>NO</t>
        </is>
      </c>
      <c r="D337" s="16" t="inlineStr">
        <is>
          <t>extended area 1st floor</t>
        </is>
      </c>
      <c r="E337" s="22">
        <f>SUMIFS(Movements!$D$2:$D$20000,Movements!$B$2:$B$20000,$A337,Movements!$C$2:$C$20000,"RECEIPT")+SUMIFS(Movements!$D$2:$D$20000,Movements!$B$2:$B$20000,$A337,Movements!$C$2:$C$20000,"RETURN")+SUMIFS(Movements!$D$2:$D$20000,Movements!$B$2:$B$20000,$A337,Movements!$C$2:$C$20000,"ADJUST+")-SUMIFS(Movements!$D$2:$D$20000,Movements!$B$2:$B$20000,$A337,Movements!$C$2:$C$20000,"ISSUE")-SUMIFS(Movements!$D$2:$D$20000,Movements!$B$2:$B$20000,$A337,Movements!$C$2:$C$20000,"SCRAP")-SUMIFS(Movements!$D$2:$D$20000,Movements!$B$2:$B$20000,$A337,Movements!$C$2:$C$20000,"ADJUST-")</f>
        <v/>
      </c>
      <c r="F337" s="16" t="n">
        <v>150</v>
      </c>
      <c r="G337" s="23">
        <f>IF($E337&lt;=0,"OUT OF STOCK",IF(AND($F337&gt;0,$E337&lt;=$F337*0.2),"LOW STOCK","IN STOCK"))</f>
        <v/>
      </c>
    </row>
    <row r="338" ht="15" customHeight="1" s="13">
      <c r="A338" s="16" t="inlineStr">
        <is>
          <t>MC000SCBBILJJ001</t>
        </is>
      </c>
      <c r="B338" s="16" t="inlineStr">
        <is>
          <t>ALTEC SLI NC25 25MM FRE OD 25MM BLK 105°</t>
        </is>
      </c>
      <c r="C338" s="16" t="inlineStr">
        <is>
          <t>NO</t>
        </is>
      </c>
      <c r="D338" s="16" t="inlineStr">
        <is>
          <t>extended area 1st floor</t>
        </is>
      </c>
      <c r="E338" s="22">
        <f>SUMIFS(Movements!$D$2:$D$20000,Movements!$B$2:$B$20000,$A338,Movements!$C$2:$C$20000,"RECEIPT")+SUMIFS(Movements!$D$2:$D$20000,Movements!$B$2:$B$20000,$A338,Movements!$C$2:$C$20000,"RETURN")+SUMIFS(Movements!$D$2:$D$20000,Movements!$B$2:$B$20000,$A338,Movements!$C$2:$C$20000,"ADJUST+")-SUMIFS(Movements!$D$2:$D$20000,Movements!$B$2:$B$20000,$A338,Movements!$C$2:$C$20000,"ISSUE")-SUMIFS(Movements!$D$2:$D$20000,Movements!$B$2:$B$20000,$A338,Movements!$C$2:$C$20000,"SCRAP")-SUMIFS(Movements!$D$2:$D$20000,Movements!$B$2:$B$20000,$A338,Movements!$C$2:$C$20000,"ADJUST-")</f>
        <v/>
      </c>
      <c r="F338" s="16" t="n">
        <v>150</v>
      </c>
      <c r="G338" s="23">
        <f>IF($E338&lt;=0,"OUT OF STOCK",IF(AND($F338&gt;0,$E338&lt;=$F338*0.2),"LOW STOCK","IN STOCK"))</f>
        <v/>
      </c>
    </row>
    <row r="339" ht="15" customHeight="1" s="13">
      <c r="A339" s="16" t="inlineStr">
        <is>
          <t>MC000SCCCOPJJ001</t>
        </is>
      </c>
      <c r="B339" s="16" t="inlineStr">
        <is>
          <t>ALTEC SLI NC30 32MM FRE OD 32MM BLK 105°</t>
        </is>
      </c>
      <c r="C339" s="16" t="inlineStr">
        <is>
          <t>NO</t>
        </is>
      </c>
      <c r="D339" s="16" t="inlineStr">
        <is>
          <t>extended area 1st floor</t>
        </is>
      </c>
      <c r="E339" s="22">
        <f>SUMIFS(Movements!$D$2:$D$20000,Movements!$B$2:$B$20000,$A339,Movements!$C$2:$C$20000,"RECEIPT")+SUMIFS(Movements!$D$2:$D$20000,Movements!$B$2:$B$20000,$A339,Movements!$C$2:$C$20000,"RETURN")+SUMIFS(Movements!$D$2:$D$20000,Movements!$B$2:$B$20000,$A339,Movements!$C$2:$C$20000,"ADJUST+")-SUMIFS(Movements!$D$2:$D$20000,Movements!$B$2:$B$20000,$A339,Movements!$C$2:$C$20000,"ISSUE")-SUMIFS(Movements!$D$2:$D$20000,Movements!$B$2:$B$20000,$A339,Movements!$C$2:$C$20000,"SCRAP")-SUMIFS(Movements!$D$2:$D$20000,Movements!$B$2:$B$20000,$A339,Movements!$C$2:$C$20000,"ADJUST-")</f>
        <v/>
      </c>
      <c r="F339" s="16" t="n">
        <v>300</v>
      </c>
      <c r="G339" s="23">
        <f>IF($E339&lt;=0,"OUT OF STOCK",IF(AND($F339&gt;0,$E339&lt;=$F339*0.2),"LOW STOCK","IN STOCK"))</f>
        <v/>
      </c>
    </row>
    <row r="340" ht="15" customHeight="1" s="13">
      <c r="A340" s="16" t="inlineStr">
        <is>
          <t>MC000SCQQPOJJ001</t>
        </is>
      </c>
      <c r="B340" s="16" t="inlineStr">
        <is>
          <t>ALTEC SLI NC32 35MM FRE OD 35MM BLK 105°</t>
        </is>
      </c>
      <c r="C340" s="16" t="inlineStr">
        <is>
          <t>NO</t>
        </is>
      </c>
      <c r="D340" s="16" t="inlineStr">
        <is>
          <t>extended area 1st floor</t>
        </is>
      </c>
      <c r="E340" s="22">
        <f>SUMIFS(Movements!$D$2:$D$20000,Movements!$B$2:$B$20000,$A340,Movements!$C$2:$C$20000,"RECEIPT")+SUMIFS(Movements!$D$2:$D$20000,Movements!$B$2:$B$20000,$A340,Movements!$C$2:$C$20000,"RETURN")+SUMIFS(Movements!$D$2:$D$20000,Movements!$B$2:$B$20000,$A340,Movements!$C$2:$C$20000,"ADJUST+")-SUMIFS(Movements!$D$2:$D$20000,Movements!$B$2:$B$20000,$A340,Movements!$C$2:$C$20000,"ISSUE")-SUMIFS(Movements!$D$2:$D$20000,Movements!$B$2:$B$20000,$A340,Movements!$C$2:$C$20000,"SCRAP")-SUMIFS(Movements!$D$2:$D$20000,Movements!$B$2:$B$20000,$A340,Movements!$C$2:$C$20000,"ADJUST-")</f>
        <v/>
      </c>
      <c r="F340" s="16" t="n">
        <v>150</v>
      </c>
      <c r="G340" s="23">
        <f>IF($E340&lt;=0,"OUT OF STOCK",IF(AND($F340&gt;0,$E340&lt;=$F340*0.2),"LOW STOCK","IN STOCK"))</f>
        <v/>
      </c>
    </row>
    <row r="341" ht="15" customHeight="1" s="13">
      <c r="A341" s="16" t="inlineStr">
        <is>
          <t>MC000SCNHWEJJ001</t>
        </is>
      </c>
      <c r="B341" s="16" t="inlineStr">
        <is>
          <t>ALTEC SLI NC40 43MM FRE OD 43MM BLK 105°</t>
        </is>
      </c>
      <c r="C341" s="16" t="inlineStr">
        <is>
          <t>NO</t>
        </is>
      </c>
      <c r="D341" s="16" t="inlineStr">
        <is>
          <t>extended area 1st floor</t>
        </is>
      </c>
      <c r="E341" s="22">
        <f>SUMIFS(Movements!$D$2:$D$20000,Movements!$B$2:$B$20000,$A341,Movements!$C$2:$C$20000,"RECEIPT")+SUMIFS(Movements!$D$2:$D$20000,Movements!$B$2:$B$20000,$A341,Movements!$C$2:$C$20000,"RETURN")+SUMIFS(Movements!$D$2:$D$20000,Movements!$B$2:$B$20000,$A341,Movements!$C$2:$C$20000,"ADJUST+")-SUMIFS(Movements!$D$2:$D$20000,Movements!$B$2:$B$20000,$A341,Movements!$C$2:$C$20000,"ISSUE")-SUMIFS(Movements!$D$2:$D$20000,Movements!$B$2:$B$20000,$A341,Movements!$C$2:$C$20000,"SCRAP")-SUMIFS(Movements!$D$2:$D$20000,Movements!$B$2:$B$20000,$A341,Movements!$C$2:$C$20000,"ADJUST-")</f>
        <v/>
      </c>
      <c r="F341" s="16" t="n">
        <v>150</v>
      </c>
      <c r="G341" s="23">
        <f>IF($E341&lt;=0,"OUT OF STOCK",IF(AND($F341&gt;0,$E341&lt;=$F341*0.2),"LOW STOCK","IN STOCK"))</f>
        <v/>
      </c>
    </row>
    <row r="342" ht="15" customHeight="1" s="13">
      <c r="A342" s="16" t="inlineStr">
        <is>
          <t>MC000SCUUREJJ001</t>
        </is>
      </c>
      <c r="B342" s="16" t="inlineStr">
        <is>
          <t>ALTEC SLI NC50 55MM FRE OD 55MM BLK 105°</t>
        </is>
      </c>
      <c r="C342" s="16" t="inlineStr">
        <is>
          <t>NO</t>
        </is>
      </c>
      <c r="D342" s="16" t="inlineStr">
        <is>
          <t>extended area 1st floor</t>
        </is>
      </c>
      <c r="E342" s="22">
        <f>SUMIFS(Movements!$D$2:$D$20000,Movements!$B$2:$B$20000,$A342,Movements!$C$2:$C$20000,"RECEIPT")+SUMIFS(Movements!$D$2:$D$20000,Movements!$B$2:$B$20000,$A342,Movements!$C$2:$C$20000,"RETURN")+SUMIFS(Movements!$D$2:$D$20000,Movements!$B$2:$B$20000,$A342,Movements!$C$2:$C$20000,"ADJUST+")-SUMIFS(Movements!$D$2:$D$20000,Movements!$B$2:$B$20000,$A342,Movements!$C$2:$C$20000,"ISSUE")-SUMIFS(Movements!$D$2:$D$20000,Movements!$B$2:$B$20000,$A342,Movements!$C$2:$C$20000,"SCRAP")-SUMIFS(Movements!$D$2:$D$20000,Movements!$B$2:$B$20000,$A342,Movements!$C$2:$C$20000,"ADJUST-")</f>
        <v/>
      </c>
      <c r="F342" s="16" t="n">
        <v>150</v>
      </c>
      <c r="G342" s="23">
        <f>IF($E342&lt;=0,"OUT OF STOCK",IF(AND($F342&gt;0,$E342&lt;=$F342*0.2),"LOW STOCK","IN STOCK"))</f>
        <v/>
      </c>
    </row>
    <row r="343" ht="15" customHeight="1" s="13">
      <c r="A343" s="16" t="inlineStr">
        <is>
          <t>MC000SCVVBBJJ001</t>
        </is>
      </c>
      <c r="B343" s="16" t="inlineStr">
        <is>
          <t>ALTEC SLI NC10 13MM FRE OD 13MM BLK 105°</t>
        </is>
      </c>
      <c r="C343" s="16" t="inlineStr">
        <is>
          <t>NO</t>
        </is>
      </c>
      <c r="D343" s="16" t="inlineStr">
        <is>
          <t>extended area 1st floor</t>
        </is>
      </c>
      <c r="E343" s="22">
        <f>SUMIFS(Movements!$D$2:$D$20000,Movements!$B$2:$B$20000,$A343,Movements!$C$2:$C$20000,"RECEIPT")+SUMIFS(Movements!$D$2:$D$20000,Movements!$B$2:$B$20000,$A343,Movements!$C$2:$C$20000,"RETURN")+SUMIFS(Movements!$D$2:$D$20000,Movements!$B$2:$B$20000,$A343,Movements!$C$2:$C$20000,"ADJUST+")-SUMIFS(Movements!$D$2:$D$20000,Movements!$B$2:$B$20000,$A343,Movements!$C$2:$C$20000,"ISSUE")-SUMIFS(Movements!$D$2:$D$20000,Movements!$B$2:$B$20000,$A343,Movements!$C$2:$C$20000,"SCRAP")-SUMIFS(Movements!$D$2:$D$20000,Movements!$B$2:$B$20000,$A343,Movements!$C$2:$C$20000,"ADJUST-")</f>
        <v/>
      </c>
      <c r="F343" s="16" t="n">
        <v>29</v>
      </c>
      <c r="G343" s="23">
        <f>IF($E343&lt;=0,"OUT OF STOCK",IF(AND($F343&gt;0,$E343&lt;=$F343*0.2),"LOW STOCK","IN STOCK"))</f>
        <v/>
      </c>
    </row>
    <row r="344" ht="15" customHeight="1" s="13">
      <c r="A344" s="16" t="inlineStr">
        <is>
          <t>P_CON_HARD_GEN_802</t>
        </is>
      </c>
      <c r="B344" s="16" t="inlineStr">
        <is>
          <t>CLOTH TAPE -40 / +125°C</t>
        </is>
      </c>
      <c r="C344" s="16" t="inlineStr">
        <is>
          <t>NO</t>
        </is>
      </c>
      <c r="D344" s="16" t="inlineStr">
        <is>
          <t>extended area 1st floor</t>
        </is>
      </c>
      <c r="E344" s="22">
        <f>SUMIFS(Movements!$D$2:$D$20000,Movements!$B$2:$B$20000,$A344,Movements!$C$2:$C$20000,"RECEIPT")+SUMIFS(Movements!$D$2:$D$20000,Movements!$B$2:$B$20000,$A344,Movements!$C$2:$C$20000,"RETURN")+SUMIFS(Movements!$D$2:$D$20000,Movements!$B$2:$B$20000,$A344,Movements!$C$2:$C$20000,"ADJUST+")-SUMIFS(Movements!$D$2:$D$20000,Movements!$B$2:$B$20000,$A344,Movements!$C$2:$C$20000,"ISSUE")-SUMIFS(Movements!$D$2:$D$20000,Movements!$B$2:$B$20000,$A344,Movements!$C$2:$C$20000,"SCRAP")-SUMIFS(Movements!$D$2:$D$20000,Movements!$B$2:$B$20000,$A344,Movements!$C$2:$C$20000,"ADJUST-")</f>
        <v/>
      </c>
      <c r="F344" s="16" t="n">
        <v>1</v>
      </c>
      <c r="G344" s="23">
        <f>IF($E344&lt;=0,"OUT OF STOCK",IF(AND($F344&gt;0,$E344&lt;=$F344*0.2),"LOW STOCK","IN STOCK"))</f>
        <v/>
      </c>
    </row>
    <row r="345" ht="15" customHeight="1" s="13">
      <c r="A345" s="16" t="inlineStr">
        <is>
          <t>P_CON_HARD_GEN_803</t>
        </is>
      </c>
      <c r="B345" s="16" t="inlineStr">
        <is>
          <t>PRINTER TAPE</t>
        </is>
      </c>
      <c r="C345" s="16" t="inlineStr">
        <is>
          <t>NO</t>
        </is>
      </c>
      <c r="D345" s="16" t="inlineStr">
        <is>
          <t>extended area 1st floor</t>
        </is>
      </c>
      <c r="E345" s="22">
        <f>SUMIFS(Movements!$D$2:$D$20000,Movements!$B$2:$B$20000,$A345,Movements!$C$2:$C$20000,"RECEIPT")+SUMIFS(Movements!$D$2:$D$20000,Movements!$B$2:$B$20000,$A345,Movements!$C$2:$C$20000,"RETURN")+SUMIFS(Movements!$D$2:$D$20000,Movements!$B$2:$B$20000,$A345,Movements!$C$2:$C$20000,"ADJUST+")-SUMIFS(Movements!$D$2:$D$20000,Movements!$B$2:$B$20000,$A345,Movements!$C$2:$C$20000,"ISSUE")-SUMIFS(Movements!$D$2:$D$20000,Movements!$B$2:$B$20000,$A345,Movements!$C$2:$C$20000,"SCRAP")-SUMIFS(Movements!$D$2:$D$20000,Movements!$B$2:$B$20000,$A345,Movements!$C$2:$C$20000,"ADJUST-")</f>
        <v/>
      </c>
      <c r="F345" s="16" t="n">
        <v>4</v>
      </c>
      <c r="G345" s="23">
        <f>IF($E345&lt;=0,"OUT OF STOCK",IF(AND($F345&gt;0,$E345&lt;=$F345*0.2),"LOW STOCK","IN STOCK"))</f>
        <v/>
      </c>
    </row>
    <row r="346" ht="15" customHeight="1" s="13">
      <c r="A346" s="16" t="inlineStr">
        <is>
          <t>P_CON_FER_KIRON_01</t>
        </is>
      </c>
      <c r="B346" s="16" t="inlineStr">
        <is>
          <t>FERRULE TUBE SIZE 2.5MM</t>
        </is>
      </c>
      <c r="C346" s="16" t="inlineStr">
        <is>
          <t>NO</t>
        </is>
      </c>
      <c r="D346" s="16" t="inlineStr">
        <is>
          <t>extended area 1st floor</t>
        </is>
      </c>
      <c r="E346" s="22">
        <f>SUMIFS(Movements!$D$2:$D$20000,Movements!$B$2:$B$20000,$A346,Movements!$C$2:$C$20000,"RECEIPT")+SUMIFS(Movements!$D$2:$D$20000,Movements!$B$2:$B$20000,$A346,Movements!$C$2:$C$20000,"RETURN")+SUMIFS(Movements!$D$2:$D$20000,Movements!$B$2:$B$20000,$A346,Movements!$C$2:$C$20000,"ADJUST+")-SUMIFS(Movements!$D$2:$D$20000,Movements!$B$2:$B$20000,$A346,Movements!$C$2:$C$20000,"ISSUE")-SUMIFS(Movements!$D$2:$D$20000,Movements!$B$2:$B$20000,$A346,Movements!$C$2:$C$20000,"SCRAP")-SUMIFS(Movements!$D$2:$D$20000,Movements!$B$2:$B$20000,$A346,Movements!$C$2:$C$20000,"ADJUST-")</f>
        <v/>
      </c>
      <c r="F346" s="16" t="n">
        <v>100</v>
      </c>
      <c r="G346" s="23">
        <f>IF($E346&lt;=0,"OUT OF STOCK",IF(AND($F346&gt;0,$E346&lt;=$F346*0.2),"LOW STOCK","IN STOCK"))</f>
        <v/>
      </c>
    </row>
    <row r="347" ht="15" customHeight="1" s="13">
      <c r="A347" s="16" t="inlineStr">
        <is>
          <t>P_CON_FER_KIRON_02</t>
        </is>
      </c>
      <c r="B347" s="16" t="inlineStr">
        <is>
          <t>FERRULE TUBE SIZE 3.5MM</t>
        </is>
      </c>
      <c r="C347" s="16" t="inlineStr">
        <is>
          <t>NO</t>
        </is>
      </c>
      <c r="D347" s="16" t="inlineStr">
        <is>
          <t>extended area 1st floor</t>
        </is>
      </c>
      <c r="E347" s="22">
        <f>SUMIFS(Movements!$D$2:$D$20000,Movements!$B$2:$B$20000,$A347,Movements!$C$2:$C$20000,"RECEIPT")+SUMIFS(Movements!$D$2:$D$20000,Movements!$B$2:$B$20000,$A347,Movements!$C$2:$C$20000,"RETURN")+SUMIFS(Movements!$D$2:$D$20000,Movements!$B$2:$B$20000,$A347,Movements!$C$2:$C$20000,"ADJUST+")-SUMIFS(Movements!$D$2:$D$20000,Movements!$B$2:$B$20000,$A347,Movements!$C$2:$C$20000,"ISSUE")-SUMIFS(Movements!$D$2:$D$20000,Movements!$B$2:$B$20000,$A347,Movements!$C$2:$C$20000,"SCRAP")-SUMIFS(Movements!$D$2:$D$20000,Movements!$B$2:$B$20000,$A347,Movements!$C$2:$C$20000,"ADJUST-")</f>
        <v/>
      </c>
      <c r="F347" s="16" t="n">
        <v>100</v>
      </c>
      <c r="G347" s="23">
        <f>IF($E347&lt;=0,"OUT OF STOCK",IF(AND($F347&gt;0,$E347&lt;=$F347*0.2),"LOW STOCK","IN STOCK"))</f>
        <v/>
      </c>
    </row>
    <row r="348" ht="15" customHeight="1" s="13">
      <c r="A348" s="16" t="inlineStr">
        <is>
          <t>P_CON_FER_KIRON_03</t>
        </is>
      </c>
      <c r="B348" s="16" t="inlineStr">
        <is>
          <t>FERRULE SIZE 4.5MM</t>
        </is>
      </c>
      <c r="C348" s="16" t="inlineStr">
        <is>
          <t>NO</t>
        </is>
      </c>
      <c r="D348" s="16" t="inlineStr">
        <is>
          <t>extended area 1st floor</t>
        </is>
      </c>
      <c r="E348" s="22">
        <f>SUMIFS(Movements!$D$2:$D$20000,Movements!$B$2:$B$20000,$A348,Movements!$C$2:$C$20000,"RECEIPT")+SUMIFS(Movements!$D$2:$D$20000,Movements!$B$2:$B$20000,$A348,Movements!$C$2:$C$20000,"RETURN")+SUMIFS(Movements!$D$2:$D$20000,Movements!$B$2:$B$20000,$A348,Movements!$C$2:$C$20000,"ADJUST+")-SUMIFS(Movements!$D$2:$D$20000,Movements!$B$2:$B$20000,$A348,Movements!$C$2:$C$20000,"ISSUE")-SUMIFS(Movements!$D$2:$D$20000,Movements!$B$2:$B$20000,$A348,Movements!$C$2:$C$20000,"SCRAP")-SUMIFS(Movements!$D$2:$D$20000,Movements!$B$2:$B$20000,$A348,Movements!$C$2:$C$20000,"ADJUST-")</f>
        <v/>
      </c>
      <c r="F348" s="16" t="n">
        <v>100</v>
      </c>
      <c r="G348" s="23">
        <f>IF($E348&lt;=0,"OUT OF STOCK",IF(AND($F348&gt;0,$E348&lt;=$F348*0.2),"LOW STOCK","IN STOCK"))</f>
        <v/>
      </c>
    </row>
    <row r="349" ht="15" customHeight="1" s="13">
      <c r="A349" s="16" t="inlineStr">
        <is>
          <t>P_CON_FER_KIRON_04</t>
        </is>
      </c>
      <c r="B349" s="16" t="inlineStr">
        <is>
          <t>FERRULE SIZE 5.5MM</t>
        </is>
      </c>
      <c r="C349" s="16" t="inlineStr">
        <is>
          <t>NO</t>
        </is>
      </c>
      <c r="D349" s="16" t="inlineStr">
        <is>
          <t>extended area 1st floor</t>
        </is>
      </c>
      <c r="E349" s="22">
        <f>SUMIFS(Movements!$D$2:$D$20000,Movements!$B$2:$B$20000,$A349,Movements!$C$2:$C$20000,"RECEIPT")+SUMIFS(Movements!$D$2:$D$20000,Movements!$B$2:$B$20000,$A349,Movements!$C$2:$C$20000,"RETURN")+SUMIFS(Movements!$D$2:$D$20000,Movements!$B$2:$B$20000,$A349,Movements!$C$2:$C$20000,"ADJUST+")-SUMIFS(Movements!$D$2:$D$20000,Movements!$B$2:$B$20000,$A349,Movements!$C$2:$C$20000,"ISSUE")-SUMIFS(Movements!$D$2:$D$20000,Movements!$B$2:$B$20000,$A349,Movements!$C$2:$C$20000,"SCRAP")-SUMIFS(Movements!$D$2:$D$20000,Movements!$B$2:$B$20000,$A349,Movements!$C$2:$C$20000,"ADJUST-")</f>
        <v/>
      </c>
      <c r="F349" s="16" t="n">
        <v>100</v>
      </c>
      <c r="G349" s="23">
        <f>IF($E349&lt;=0,"OUT OF STOCK",IF(AND($F349&gt;0,$E349&lt;=$F349*0.2),"LOW STOCK","IN STOCK"))</f>
        <v/>
      </c>
    </row>
    <row r="350" ht="15" customHeight="1" s="13">
      <c r="A350" s="16" t="inlineStr">
        <is>
          <t>P_CON_FER_KIRON_05</t>
        </is>
      </c>
      <c r="B350" s="16" t="inlineStr">
        <is>
          <t>FERRULE SIZE 7MM</t>
        </is>
      </c>
      <c r="C350" s="16" t="inlineStr">
        <is>
          <t>NO</t>
        </is>
      </c>
      <c r="D350" s="16" t="n"/>
      <c r="E350" s="22">
        <f>SUMIFS(Movements!$D$2:$D$20000,Movements!$B$2:$B$20000,$A350,Movements!$C$2:$C$20000,"RECEIPT")+SUMIFS(Movements!$D$2:$D$20000,Movements!$B$2:$B$20000,$A350,Movements!$C$2:$C$20000,"RETURN")+SUMIFS(Movements!$D$2:$D$20000,Movements!$B$2:$B$20000,$A350,Movements!$C$2:$C$20000,"ADJUST+")-SUMIFS(Movements!$D$2:$D$20000,Movements!$B$2:$B$20000,$A350,Movements!$C$2:$C$20000,"ISSUE")-SUMIFS(Movements!$D$2:$D$20000,Movements!$B$2:$B$20000,$A350,Movements!$C$2:$C$20000,"SCRAP")-SUMIFS(Movements!$D$2:$D$20000,Movements!$B$2:$B$20000,$A350,Movements!$C$2:$C$20000,"ADJUST-")</f>
        <v/>
      </c>
      <c r="F350" s="16" t="n">
        <v>100</v>
      </c>
      <c r="G350" s="23">
        <f>IF($E350&lt;=0,"OUT OF STOCK",IF(AND($F350&gt;0,$E350&lt;=$F350*0.2),"LOW STOCK","IN STOCK"))</f>
        <v/>
      </c>
    </row>
    <row r="351" ht="15" customHeight="1" s="13">
      <c r="A351" s="16" t="inlineStr">
        <is>
          <t>7219/0221</t>
        </is>
      </c>
      <c r="B351" s="16" t="inlineStr">
        <is>
          <t>62 Way MCP 1.5K Tab Hsg blue key C</t>
        </is>
      </c>
      <c r="C351" s="16" t="inlineStr">
        <is>
          <t>NO</t>
        </is>
      </c>
      <c r="D351" s="16" t="inlineStr">
        <is>
          <t>D1-3</t>
        </is>
      </c>
      <c r="E351" s="22">
        <f>SUMIFS(Movements!$D$2:$D$20000,Movements!$B$2:$B$20000,$A351,Movements!$C$2:$C$20000,"RECEIPT")+SUMIFS(Movements!$D$2:$D$20000,Movements!$B$2:$B$20000,$A351,Movements!$C$2:$C$20000,"RETURN")+SUMIFS(Movements!$D$2:$D$20000,Movements!$B$2:$B$20000,$A351,Movements!$C$2:$C$20000,"ADJUST+")-SUMIFS(Movements!$D$2:$D$20000,Movements!$B$2:$B$20000,$A351,Movements!$C$2:$C$20000,"ISSUE")-SUMIFS(Movements!$D$2:$D$20000,Movements!$B$2:$B$20000,$A351,Movements!$C$2:$C$20000,"SCRAP")-SUMIFS(Movements!$D$2:$D$20000,Movements!$B$2:$B$20000,$A351,Movements!$C$2:$C$20000,"ADJUST-")</f>
        <v/>
      </c>
      <c r="F351" s="16" t="n">
        <v>2</v>
      </c>
      <c r="G351" s="23">
        <f>IF($E351&lt;=0,"OUT OF STOCK",IF(AND($F351&gt;0,$E351&lt;=$F351*0.2),"LOW STOCK","IN STOCK"))</f>
        <v/>
      </c>
    </row>
    <row r="352" ht="15" customHeight="1" s="13">
      <c r="A352" s="16" t="inlineStr">
        <is>
          <t>7216/0052</t>
        </is>
      </c>
      <c r="B352" s="16" t="inlineStr">
        <is>
          <t>6 WAY MATENLOK FEM HSG UNSEALED</t>
        </is>
      </c>
      <c r="C352" s="16" t="inlineStr">
        <is>
          <t>NO</t>
        </is>
      </c>
      <c r="D352" s="16" t="inlineStr">
        <is>
          <t>D1-3</t>
        </is>
      </c>
      <c r="E352" s="22">
        <f>SUMIFS(Movements!$D$2:$D$20000,Movements!$B$2:$B$20000,$A352,Movements!$C$2:$C$20000,"RECEIPT")+SUMIFS(Movements!$D$2:$D$20000,Movements!$B$2:$B$20000,$A352,Movements!$C$2:$C$20000,"RETURN")+SUMIFS(Movements!$D$2:$D$20000,Movements!$B$2:$B$20000,$A352,Movements!$C$2:$C$20000,"ADJUST+")-SUMIFS(Movements!$D$2:$D$20000,Movements!$B$2:$B$20000,$A352,Movements!$C$2:$C$20000,"ISSUE")-SUMIFS(Movements!$D$2:$D$20000,Movements!$B$2:$B$20000,$A352,Movements!$C$2:$C$20000,"SCRAP")-SUMIFS(Movements!$D$2:$D$20000,Movements!$B$2:$B$20000,$A352,Movements!$C$2:$C$20000,"ADJUST-")</f>
        <v/>
      </c>
      <c r="F352" s="16" t="n">
        <v>20</v>
      </c>
      <c r="G352" s="23">
        <f>IF($E352&lt;=0,"OUT OF STOCK",IF(AND($F352&gt;0,$E352&lt;=$F352*0.2),"LOW STOCK","IN STOCK"))</f>
        <v/>
      </c>
    </row>
    <row r="353" ht="15" customHeight="1" s="13">
      <c r="A353" s="16" t="inlineStr">
        <is>
          <t>7201/0017</t>
        </is>
      </c>
      <c r="B353" s="16" t="inlineStr">
        <is>
          <t>1.50-2.50mm² JPT Female Terminal</t>
        </is>
      </c>
      <c r="C353" s="16" t="inlineStr">
        <is>
          <t>NO</t>
        </is>
      </c>
      <c r="D353" s="16" t="inlineStr">
        <is>
          <t>D1-3</t>
        </is>
      </c>
      <c r="E353" s="22">
        <f>SUMIFS(Movements!$D$2:$D$20000,Movements!$B$2:$B$20000,$A353,Movements!$C$2:$C$20000,"RECEIPT")+SUMIFS(Movements!$D$2:$D$20000,Movements!$B$2:$B$20000,$A353,Movements!$C$2:$C$20000,"RETURN")+SUMIFS(Movements!$D$2:$D$20000,Movements!$B$2:$B$20000,$A353,Movements!$C$2:$C$20000,"ADJUST+")-SUMIFS(Movements!$D$2:$D$20000,Movements!$B$2:$B$20000,$A353,Movements!$C$2:$C$20000,"ISSUE")-SUMIFS(Movements!$D$2:$D$20000,Movements!$B$2:$B$20000,$A353,Movements!$C$2:$C$20000,"SCRAP")-SUMIFS(Movements!$D$2:$D$20000,Movements!$B$2:$B$20000,$A353,Movements!$C$2:$C$20000,"ADJUST-")</f>
        <v/>
      </c>
      <c r="F353" s="16" t="n">
        <v>100</v>
      </c>
      <c r="G353" s="23">
        <f>IF($E353&lt;=0,"OUT OF STOCK",IF(AND($F353&gt;0,$E353&lt;=$F353*0.2),"LOW STOCK","IN STOCK"))</f>
        <v/>
      </c>
    </row>
    <row r="354" ht="15" customHeight="1" s="13">
      <c r="A354" s="16" t="inlineStr">
        <is>
          <t>7219/0218</t>
        </is>
      </c>
      <c r="B354" s="16" t="inlineStr">
        <is>
          <t>62W MCP1.5K Skt hsg blue Key C</t>
        </is>
      </c>
      <c r="C354" s="16" t="inlineStr">
        <is>
          <t>NO</t>
        </is>
      </c>
      <c r="D354" s="16" t="inlineStr">
        <is>
          <t>D1-3</t>
        </is>
      </c>
      <c r="E354" s="22">
        <f>SUMIFS(Movements!$D$2:$D$20000,Movements!$B$2:$B$20000,$A354,Movements!$C$2:$C$20000,"RECEIPT")+SUMIFS(Movements!$D$2:$D$20000,Movements!$B$2:$B$20000,$A354,Movements!$C$2:$C$20000,"RETURN")+SUMIFS(Movements!$D$2:$D$20000,Movements!$B$2:$B$20000,$A354,Movements!$C$2:$C$20000,"ADJUST+")-SUMIFS(Movements!$D$2:$D$20000,Movements!$B$2:$B$20000,$A354,Movements!$C$2:$C$20000,"ISSUE")-SUMIFS(Movements!$D$2:$D$20000,Movements!$B$2:$B$20000,$A354,Movements!$C$2:$C$20000,"SCRAP")-SUMIFS(Movements!$D$2:$D$20000,Movements!$B$2:$B$20000,$A354,Movements!$C$2:$C$20000,"ADJUST-")</f>
        <v/>
      </c>
      <c r="F354" s="16" t="n">
        <v>5</v>
      </c>
      <c r="G354" s="23">
        <f>IF($E354&lt;=0,"OUT OF STOCK",IF(AND($F354&gt;0,$E354&lt;=$F354*0.2),"LOW STOCK","IN STOCK"))</f>
        <v/>
      </c>
    </row>
    <row r="355" ht="15" customHeight="1" s="13">
      <c r="A355" s="16" t="inlineStr">
        <is>
          <t>7219/0010</t>
        </is>
      </c>
      <c r="B355" s="16" t="inlineStr">
        <is>
          <t>12 Way DT04 Wedge</t>
        </is>
      </c>
      <c r="C355" s="16" t="inlineStr">
        <is>
          <t>NO</t>
        </is>
      </c>
      <c r="D355" s="16" t="inlineStr">
        <is>
          <t>D2-1</t>
        </is>
      </c>
      <c r="E355" s="22">
        <f>SUMIFS(Movements!$D$2:$D$20000,Movements!$B$2:$B$20000,$A355,Movements!$C$2:$C$20000,"RECEIPT")+SUMIFS(Movements!$D$2:$D$20000,Movements!$B$2:$B$20000,$A355,Movements!$C$2:$C$20000,"RETURN")+SUMIFS(Movements!$D$2:$D$20000,Movements!$B$2:$B$20000,$A355,Movements!$C$2:$C$20000,"ADJUST+")-SUMIFS(Movements!$D$2:$D$20000,Movements!$B$2:$B$20000,$A355,Movements!$C$2:$C$20000,"ISSUE")-SUMIFS(Movements!$D$2:$D$20000,Movements!$B$2:$B$20000,$A355,Movements!$C$2:$C$20000,"SCRAP")-SUMIFS(Movements!$D$2:$D$20000,Movements!$B$2:$B$20000,$A355,Movements!$C$2:$C$20000,"ADJUST-")</f>
        <v/>
      </c>
      <c r="F355" s="16" t="n">
        <v>29</v>
      </c>
      <c r="G355" s="23">
        <f>IF($E355&lt;=0,"OUT OF STOCK",IF(AND($F355&gt;0,$E355&lt;=$F355*0.2),"LOW STOCK","IN STOCK"))</f>
        <v/>
      </c>
    </row>
    <row r="356" ht="15" customHeight="1" s="13">
      <c r="A356" s="16" t="inlineStr">
        <is>
          <t>7219/0024</t>
        </is>
      </c>
      <c r="B356" s="16" t="inlineStr">
        <is>
          <t>12 Way DTM06 Wedge</t>
        </is>
      </c>
      <c r="C356" s="16" t="inlineStr">
        <is>
          <t>NO</t>
        </is>
      </c>
      <c r="D356" s="16" t="inlineStr">
        <is>
          <t>D2-1</t>
        </is>
      </c>
      <c r="E356" s="22">
        <f>SUMIFS(Movements!$D$2:$D$20000,Movements!$B$2:$B$20000,$A356,Movements!$C$2:$C$20000,"RECEIPT")+SUMIFS(Movements!$D$2:$D$20000,Movements!$B$2:$B$20000,$A356,Movements!$C$2:$C$20000,"RETURN")+SUMIFS(Movements!$D$2:$D$20000,Movements!$B$2:$B$20000,$A356,Movements!$C$2:$C$20000,"ADJUST+")-SUMIFS(Movements!$D$2:$D$20000,Movements!$B$2:$B$20000,$A356,Movements!$C$2:$C$20000,"ISSUE")-SUMIFS(Movements!$D$2:$D$20000,Movements!$B$2:$B$20000,$A356,Movements!$C$2:$C$20000,"SCRAP")-SUMIFS(Movements!$D$2:$D$20000,Movements!$B$2:$B$20000,$A356,Movements!$C$2:$C$20000,"ADJUST-")</f>
        <v/>
      </c>
      <c r="F356" s="16" t="n">
        <v>20</v>
      </c>
      <c r="G356" s="23">
        <f>IF($E356&lt;=0,"OUT OF STOCK",IF(AND($F356&gt;0,$E356&lt;=$F356*0.2),"LOW STOCK","IN STOCK"))</f>
        <v/>
      </c>
    </row>
    <row r="357" ht="15" customHeight="1" s="13">
      <c r="A357" s="16" t="inlineStr">
        <is>
          <t>7201/0152</t>
        </is>
      </c>
      <c r="B357" s="16" t="inlineStr">
        <is>
          <t>0.5-1.0 Micro Timer Female Term</t>
        </is>
      </c>
      <c r="C357" s="16" t="inlineStr">
        <is>
          <t>NO</t>
        </is>
      </c>
      <c r="D357" s="16" t="inlineStr">
        <is>
          <t>D1-3</t>
        </is>
      </c>
      <c r="E357" s="22">
        <f>SUMIFS(Movements!$D$2:$D$20000,Movements!$B$2:$B$20000,$A357,Movements!$C$2:$C$20000,"RECEIPT")+SUMIFS(Movements!$D$2:$D$20000,Movements!$B$2:$B$20000,$A357,Movements!$C$2:$C$20000,"RETURN")+SUMIFS(Movements!$D$2:$D$20000,Movements!$B$2:$B$20000,$A357,Movements!$C$2:$C$20000,"ADJUST+")-SUMIFS(Movements!$D$2:$D$20000,Movements!$B$2:$B$20000,$A357,Movements!$C$2:$C$20000,"ISSUE")-SUMIFS(Movements!$D$2:$D$20000,Movements!$B$2:$B$20000,$A357,Movements!$C$2:$C$20000,"SCRAP")-SUMIFS(Movements!$D$2:$D$20000,Movements!$B$2:$B$20000,$A357,Movements!$C$2:$C$20000,"ADJUST-")</f>
        <v/>
      </c>
      <c r="F357" s="16" t="n">
        <v>100</v>
      </c>
      <c r="G357" s="23">
        <f>IF($E357&lt;=0,"OUT OF STOCK",IF(AND($F357&gt;0,$E357&lt;=$F357*0.2),"LOW STOCK","IN STOCK"))</f>
        <v/>
      </c>
    </row>
    <row r="358" ht="15" customHeight="1" s="13">
      <c r="A358" s="16" t="inlineStr">
        <is>
          <t>7201/0093</t>
        </is>
      </c>
      <c r="B358" s="16" t="inlineStr">
        <is>
          <t>0.75-1.50mm² Tab Terminal Superseal</t>
        </is>
      </c>
      <c r="C358" s="16" t="inlineStr">
        <is>
          <t>NO</t>
        </is>
      </c>
      <c r="D358" s="16" t="inlineStr">
        <is>
          <t>D1-3</t>
        </is>
      </c>
      <c r="E358" s="22">
        <f>SUMIFS(Movements!$D$2:$D$20000,Movements!$B$2:$B$20000,$A358,Movements!$C$2:$C$20000,"RECEIPT")+SUMIFS(Movements!$D$2:$D$20000,Movements!$B$2:$B$20000,$A358,Movements!$C$2:$C$20000,"RETURN")+SUMIFS(Movements!$D$2:$D$20000,Movements!$B$2:$B$20000,$A358,Movements!$C$2:$C$20000,"ADJUST+")-SUMIFS(Movements!$D$2:$D$20000,Movements!$B$2:$B$20000,$A358,Movements!$C$2:$C$20000,"ISSUE")-SUMIFS(Movements!$D$2:$D$20000,Movements!$B$2:$B$20000,$A358,Movements!$C$2:$C$20000,"SCRAP")-SUMIFS(Movements!$D$2:$D$20000,Movements!$B$2:$B$20000,$A358,Movements!$C$2:$C$20000,"ADJUST-")</f>
        <v/>
      </c>
      <c r="F358" s="16" t="n">
        <v>100</v>
      </c>
      <c r="G358" s="23">
        <f>IF($E358&lt;=0,"OUT OF STOCK",IF(AND($F358&gt;0,$E358&lt;=$F358*0.2),"LOW STOCK","IN STOCK"))</f>
        <v/>
      </c>
    </row>
    <row r="359" ht="15" customHeight="1" s="13">
      <c r="A359" s="16" t="inlineStr">
        <is>
          <t>7201/0127</t>
        </is>
      </c>
      <c r="B359" s="16" t="inlineStr">
        <is>
          <t>0.5-1.0 Size 16 Socket Terminal Gold</t>
        </is>
      </c>
      <c r="C359" s="16" t="inlineStr">
        <is>
          <t>NO</t>
        </is>
      </c>
      <c r="D359" s="16" t="inlineStr">
        <is>
          <t>D1-3</t>
        </is>
      </c>
      <c r="E359" s="22">
        <f>SUMIFS(Movements!$D$2:$D$20000,Movements!$B$2:$B$20000,$A359,Movements!$C$2:$C$20000,"RECEIPT")+SUMIFS(Movements!$D$2:$D$20000,Movements!$B$2:$B$20000,$A359,Movements!$C$2:$C$20000,"RETURN")+SUMIFS(Movements!$D$2:$D$20000,Movements!$B$2:$B$20000,$A359,Movements!$C$2:$C$20000,"ADJUST+")-SUMIFS(Movements!$D$2:$D$20000,Movements!$B$2:$B$20000,$A359,Movements!$C$2:$C$20000,"ISSUE")-SUMIFS(Movements!$D$2:$D$20000,Movements!$B$2:$B$20000,$A359,Movements!$C$2:$C$20000,"SCRAP")-SUMIFS(Movements!$D$2:$D$20000,Movements!$B$2:$B$20000,$A359,Movements!$C$2:$C$20000,"ADJUST-")</f>
        <v/>
      </c>
      <c r="F359" s="16" t="n">
        <v>70</v>
      </c>
      <c r="G359" s="23">
        <f>IF($E359&lt;=0,"OUT OF STOCK",IF(AND($F359&gt;0,$E359&lt;=$F359*0.2),"LOW STOCK","IN STOCK"))</f>
        <v/>
      </c>
    </row>
    <row r="360" ht="15" customHeight="1" s="13">
      <c r="A360" s="16" t="inlineStr">
        <is>
          <t>7201/0022</t>
        </is>
      </c>
      <c r="B360" s="16" t="inlineStr">
        <is>
          <t>0.75-2.00mm² Econo Socket Terminal</t>
        </is>
      </c>
      <c r="C360" s="16" t="inlineStr">
        <is>
          <t>NO</t>
        </is>
      </c>
      <c r="D360" s="16" t="inlineStr">
        <is>
          <t>D1-3</t>
        </is>
      </c>
      <c r="E360" s="22">
        <f>SUMIFS(Movements!$D$2:$D$20000,Movements!$B$2:$B$20000,$A360,Movements!$C$2:$C$20000,"RECEIPT")+SUMIFS(Movements!$D$2:$D$20000,Movements!$B$2:$B$20000,$A360,Movements!$C$2:$C$20000,"RETURN")+SUMIFS(Movements!$D$2:$D$20000,Movements!$B$2:$B$20000,$A360,Movements!$C$2:$C$20000,"ADJUST+")-SUMIFS(Movements!$D$2:$D$20000,Movements!$B$2:$B$20000,$A360,Movements!$C$2:$C$20000,"ISSUE")-SUMIFS(Movements!$D$2:$D$20000,Movements!$B$2:$B$20000,$A360,Movements!$C$2:$C$20000,"SCRAP")-SUMIFS(Movements!$D$2:$D$20000,Movements!$B$2:$B$20000,$A360,Movements!$C$2:$C$20000,"ADJUST-")</f>
        <v/>
      </c>
      <c r="F360" s="16" t="n">
        <v>100</v>
      </c>
      <c r="G360" s="23">
        <f>IF($E360&lt;=0,"OUT OF STOCK",IF(AND($F360&gt;0,$E360&lt;=$F360*0.2),"LOW STOCK","IN STOCK"))</f>
        <v/>
      </c>
    </row>
    <row r="361" ht="15" customHeight="1" s="13">
      <c r="A361" s="16" t="inlineStr">
        <is>
          <t>1670144-2</t>
        </is>
      </c>
      <c r="B361" s="16" t="n"/>
      <c r="C361" s="16" t="inlineStr">
        <is>
          <t>NO</t>
        </is>
      </c>
      <c r="D361" s="16" t="inlineStr">
        <is>
          <t>D1-3</t>
        </is>
      </c>
      <c r="E361" s="22">
        <f>SUMIFS(Movements!$D$2:$D$20000,Movements!$B$2:$B$20000,$A361,Movements!$C$2:$C$20000,"RECEIPT")+SUMIFS(Movements!$D$2:$D$20000,Movements!$B$2:$B$20000,$A361,Movements!$C$2:$C$20000,"RETURN")+SUMIFS(Movements!$D$2:$D$20000,Movements!$B$2:$B$20000,$A361,Movements!$C$2:$C$20000,"ADJUST+")-SUMIFS(Movements!$D$2:$D$20000,Movements!$B$2:$B$20000,$A361,Movements!$C$2:$C$20000,"ISSUE")-SUMIFS(Movements!$D$2:$D$20000,Movements!$B$2:$B$20000,$A361,Movements!$C$2:$C$20000,"SCRAP")-SUMIFS(Movements!$D$2:$D$20000,Movements!$B$2:$B$20000,$A361,Movements!$C$2:$C$20000,"ADJUST-")</f>
        <v/>
      </c>
      <c r="F361" s="16" t="n">
        <v>100</v>
      </c>
      <c r="G361" s="23">
        <f>IF($E361&lt;=0,"OUT OF STOCK",IF(AND($F361&gt;0,$E361&lt;=$F361*0.2),"LOW STOCK","IN STOCK"))</f>
        <v/>
      </c>
    </row>
    <row r="362" ht="15" customHeight="1" s="13">
      <c r="A362" s="16" t="inlineStr">
        <is>
          <t>701/45501</t>
        </is>
      </c>
      <c r="B362" s="16" t="n"/>
      <c r="C362" s="16" t="inlineStr">
        <is>
          <t>NO</t>
        </is>
      </c>
      <c r="D362" s="16" t="inlineStr">
        <is>
          <t>D2-2</t>
        </is>
      </c>
      <c r="E362" s="22">
        <f>SUMIFS(Movements!$D$2:$D$20000,Movements!$B$2:$B$20000,$A362,Movements!$C$2:$C$20000,"RECEIPT")+SUMIFS(Movements!$D$2:$D$20000,Movements!$B$2:$B$20000,$A362,Movements!$C$2:$C$20000,"RETURN")+SUMIFS(Movements!$D$2:$D$20000,Movements!$B$2:$B$20000,$A362,Movements!$C$2:$C$20000,"ADJUST+")-SUMIFS(Movements!$D$2:$D$20000,Movements!$B$2:$B$20000,$A362,Movements!$C$2:$C$20000,"ISSUE")-SUMIFS(Movements!$D$2:$D$20000,Movements!$B$2:$B$20000,$A362,Movements!$C$2:$C$20000,"SCRAP")-SUMIFS(Movements!$D$2:$D$20000,Movements!$B$2:$B$20000,$A362,Movements!$C$2:$C$20000,"ADJUST-")</f>
        <v/>
      </c>
      <c r="F362" s="16" t="n">
        <v>1</v>
      </c>
      <c r="G362" s="23">
        <f>IF($E362&lt;=0,"OUT OF STOCK",IF(AND($F362&gt;0,$E362&lt;=$F362*0.2),"LOW STOCK","IN STOCK"))</f>
        <v/>
      </c>
    </row>
    <row r="363" ht="15" customHeight="1" s="13">
      <c r="A363" s="16" t="inlineStr">
        <is>
          <t>696/01480</t>
        </is>
      </c>
      <c r="B363" s="16" t="inlineStr">
        <is>
          <t>24V Micro relay 15/10A Resistive</t>
        </is>
      </c>
      <c r="C363" s="16" t="inlineStr">
        <is>
          <t>NO</t>
        </is>
      </c>
      <c r="D363" s="16" t="inlineStr">
        <is>
          <t>D2-2</t>
        </is>
      </c>
      <c r="E363" s="22">
        <f>SUMIFS(Movements!$D$2:$D$20000,Movements!$B$2:$B$20000,$A363,Movements!$C$2:$C$20000,"RECEIPT")+SUMIFS(Movements!$D$2:$D$20000,Movements!$B$2:$B$20000,$A363,Movements!$C$2:$C$20000,"RETURN")+SUMIFS(Movements!$D$2:$D$20000,Movements!$B$2:$B$20000,$A363,Movements!$C$2:$C$20000,"ADJUST+")-SUMIFS(Movements!$D$2:$D$20000,Movements!$B$2:$B$20000,$A363,Movements!$C$2:$C$20000,"ISSUE")-SUMIFS(Movements!$D$2:$D$20000,Movements!$B$2:$B$20000,$A363,Movements!$C$2:$C$20000,"SCRAP")-SUMIFS(Movements!$D$2:$D$20000,Movements!$B$2:$B$20000,$A363,Movements!$C$2:$C$20000,"ADJUST-")</f>
        <v/>
      </c>
      <c r="F363" s="16" t="n">
        <v>12</v>
      </c>
      <c r="G363" s="23">
        <f>IF($E363&lt;=0,"OUT OF STOCK",IF(AND($F363&gt;0,$E363&lt;=$F363*0.2),"LOW STOCK","IN STOCK"))</f>
        <v/>
      </c>
    </row>
    <row r="364" ht="15" customHeight="1" s="13">
      <c r="A364" s="16" t="inlineStr">
        <is>
          <t>701/L4886</t>
        </is>
      </c>
      <c r="B364" s="16" t="n"/>
      <c r="C364" s="16" t="inlineStr">
        <is>
          <t>NO</t>
        </is>
      </c>
      <c r="D364" s="16" t="inlineStr">
        <is>
          <t>D2-2</t>
        </is>
      </c>
      <c r="E364" s="22">
        <f>SUMIFS(Movements!$D$2:$D$20000,Movements!$B$2:$B$20000,$A364,Movements!$C$2:$C$20000,"RECEIPT")+SUMIFS(Movements!$D$2:$D$20000,Movements!$B$2:$B$20000,$A364,Movements!$C$2:$C$20000,"RETURN")+SUMIFS(Movements!$D$2:$D$20000,Movements!$B$2:$B$20000,$A364,Movements!$C$2:$C$20000,"ADJUST+")-SUMIFS(Movements!$D$2:$D$20000,Movements!$B$2:$B$20000,$A364,Movements!$C$2:$C$20000,"ISSUE")-SUMIFS(Movements!$D$2:$D$20000,Movements!$B$2:$B$20000,$A364,Movements!$C$2:$C$20000,"SCRAP")-SUMIFS(Movements!$D$2:$D$20000,Movements!$B$2:$B$20000,$A364,Movements!$C$2:$C$20000,"ADJUST-")</f>
        <v/>
      </c>
      <c r="F364" s="16" t="n">
        <v>2</v>
      </c>
      <c r="G364" s="23">
        <f>IF($E364&lt;=0,"OUT OF STOCK",IF(AND($F364&gt;0,$E364&lt;=$F364*0.2),"LOW STOCK","IN STOCK"))</f>
        <v/>
      </c>
    </row>
    <row r="365" ht="15" customHeight="1" s="13">
      <c r="A365" s="16" t="inlineStr">
        <is>
          <t>701/L4887</t>
        </is>
      </c>
      <c r="B365" s="16" t="inlineStr">
        <is>
          <t>Carling Switch</t>
        </is>
      </c>
      <c r="C365" s="16" t="inlineStr">
        <is>
          <t>NO</t>
        </is>
      </c>
      <c r="D365" s="16" t="inlineStr">
        <is>
          <t>D2-2</t>
        </is>
      </c>
      <c r="E365" s="22">
        <f>SUMIFS(Movements!$D$2:$D$20000,Movements!$B$2:$B$20000,$A365,Movements!$C$2:$C$20000,"RECEIPT")+SUMIFS(Movements!$D$2:$D$20000,Movements!$B$2:$B$20000,$A365,Movements!$C$2:$C$20000,"RETURN")+SUMIFS(Movements!$D$2:$D$20000,Movements!$B$2:$B$20000,$A365,Movements!$C$2:$C$20000,"ADJUST+")-SUMIFS(Movements!$D$2:$D$20000,Movements!$B$2:$B$20000,$A365,Movements!$C$2:$C$20000,"ISSUE")-SUMIFS(Movements!$D$2:$D$20000,Movements!$B$2:$B$20000,$A365,Movements!$C$2:$C$20000,"SCRAP")-SUMIFS(Movements!$D$2:$D$20000,Movements!$B$2:$B$20000,$A365,Movements!$C$2:$C$20000,"ADJUST-")</f>
        <v/>
      </c>
      <c r="F365" s="16" t="n">
        <v>4</v>
      </c>
      <c r="G365" s="23">
        <f>IF($E365&lt;=0,"OUT OF STOCK",IF(AND($F365&gt;0,$E365&lt;=$F365*0.2),"LOW STOCK","IN STOCK"))</f>
        <v/>
      </c>
    </row>
    <row r="366" ht="15" customHeight="1" s="13">
      <c r="A366" s="16" t="inlineStr">
        <is>
          <t>400/T4274</t>
        </is>
      </c>
      <c r="B366" s="16" t="n"/>
      <c r="C366" s="16" t="inlineStr">
        <is>
          <t>NO</t>
        </is>
      </c>
      <c r="D366" s="16" t="inlineStr">
        <is>
          <t>D2-2</t>
        </is>
      </c>
      <c r="E366" s="22">
        <f>SUMIFS(Movements!$D$2:$D$20000,Movements!$B$2:$B$20000,$A366,Movements!$C$2:$C$20000,"RECEIPT")+SUMIFS(Movements!$D$2:$D$20000,Movements!$B$2:$B$20000,$A366,Movements!$C$2:$C$20000,"RETURN")+SUMIFS(Movements!$D$2:$D$20000,Movements!$B$2:$B$20000,$A366,Movements!$C$2:$C$20000,"ADJUST+")-SUMIFS(Movements!$D$2:$D$20000,Movements!$B$2:$B$20000,$A366,Movements!$C$2:$C$20000,"ISSUE")-SUMIFS(Movements!$D$2:$D$20000,Movements!$B$2:$B$20000,$A366,Movements!$C$2:$C$20000,"SCRAP")-SUMIFS(Movements!$D$2:$D$20000,Movements!$B$2:$B$20000,$A366,Movements!$C$2:$C$20000,"ADJUST-")</f>
        <v/>
      </c>
      <c r="F366" s="16" t="n">
        <v>2</v>
      </c>
      <c r="G366" s="23">
        <f>IF($E366&lt;=0,"OUT OF STOCK",IF(AND($F366&gt;0,$E366&lt;=$F366*0.2),"LOW STOCK","IN STOCK"))</f>
        <v/>
      </c>
    </row>
    <row r="367" ht="15" customHeight="1" s="13">
      <c r="A367" s="16" t="inlineStr">
        <is>
          <t>696/01479</t>
        </is>
      </c>
      <c r="B367" s="16" t="n"/>
      <c r="C367" s="16" t="inlineStr">
        <is>
          <t>NO</t>
        </is>
      </c>
      <c r="D367" s="16" t="inlineStr">
        <is>
          <t>D2-2</t>
        </is>
      </c>
      <c r="E367" s="22">
        <f>SUMIFS(Movements!$D$2:$D$20000,Movements!$B$2:$B$20000,$A367,Movements!$C$2:$C$20000,"RECEIPT")+SUMIFS(Movements!$D$2:$D$20000,Movements!$B$2:$B$20000,$A367,Movements!$C$2:$C$20000,"RETURN")+SUMIFS(Movements!$D$2:$D$20000,Movements!$B$2:$B$20000,$A367,Movements!$C$2:$C$20000,"ADJUST+")-SUMIFS(Movements!$D$2:$D$20000,Movements!$B$2:$B$20000,$A367,Movements!$C$2:$C$20000,"ISSUE")-SUMIFS(Movements!$D$2:$D$20000,Movements!$B$2:$B$20000,$A367,Movements!$C$2:$C$20000,"SCRAP")-SUMIFS(Movements!$D$2:$D$20000,Movements!$B$2:$B$20000,$A367,Movements!$C$2:$C$20000,"ADJUST-")</f>
        <v/>
      </c>
      <c r="F367" s="16" t="n">
        <v>0</v>
      </c>
      <c r="G367" s="23">
        <f>IF($E367&lt;=0,"OUT OF STOCK",IF(AND($F367&gt;0,$E367&lt;=$F367*0.2),"LOW STOCK","IN STOCK"))</f>
        <v/>
      </c>
    </row>
    <row r="368" ht="15" customHeight="1" s="13">
      <c r="A368" s="16" t="inlineStr">
        <is>
          <t>7214/0030</t>
        </is>
      </c>
      <c r="B368" s="16" t="inlineStr">
        <is>
          <t>4 Way DTM04 Wedge</t>
        </is>
      </c>
      <c r="C368" s="16" t="inlineStr">
        <is>
          <t>NO</t>
        </is>
      </c>
      <c r="D368" s="16" t="inlineStr">
        <is>
          <t>D2-1</t>
        </is>
      </c>
      <c r="E368" s="22">
        <f>SUMIFS(Movements!$D$2:$D$20000,Movements!$B$2:$B$20000,$A368,Movements!$C$2:$C$20000,"RECEIPT")+SUMIFS(Movements!$D$2:$D$20000,Movements!$B$2:$B$20000,$A368,Movements!$C$2:$C$20000,"RETURN")+SUMIFS(Movements!$D$2:$D$20000,Movements!$B$2:$B$20000,$A368,Movements!$C$2:$C$20000,"ADJUST+")-SUMIFS(Movements!$D$2:$D$20000,Movements!$B$2:$B$20000,$A368,Movements!$C$2:$C$20000,"ISSUE")-SUMIFS(Movements!$D$2:$D$20000,Movements!$B$2:$B$20000,$A368,Movements!$C$2:$C$20000,"SCRAP")-SUMIFS(Movements!$D$2:$D$20000,Movements!$B$2:$B$20000,$A368,Movements!$C$2:$C$20000,"ADJUST-")</f>
        <v/>
      </c>
      <c r="F368" s="16" t="n">
        <v>15</v>
      </c>
      <c r="G368" s="23">
        <f>IF($E368&lt;=0,"OUT OF STOCK",IF(AND($F368&gt;0,$E368&lt;=$F368*0.2),"LOW STOCK","IN STOCK"))</f>
        <v/>
      </c>
    </row>
    <row r="369" ht="15" customHeight="1" s="13">
      <c r="A369" s="16" t="inlineStr">
        <is>
          <t>7219/0442</t>
        </is>
      </c>
      <c r="B369" s="16" t="inlineStr">
        <is>
          <t>48W HYBRID NTSEAL SKT HSG KEY A BLACK</t>
        </is>
      </c>
      <c r="C369" s="16" t="inlineStr">
        <is>
          <t>NO</t>
        </is>
      </c>
      <c r="D369" s="16" t="inlineStr">
        <is>
          <t>D2-1</t>
        </is>
      </c>
      <c r="E369" s="22">
        <f>SUMIFS(Movements!$D$2:$D$20000,Movements!$B$2:$B$20000,$A369,Movements!$C$2:$C$20000,"RECEIPT")+SUMIFS(Movements!$D$2:$D$20000,Movements!$B$2:$B$20000,$A369,Movements!$C$2:$C$20000,"RETURN")+SUMIFS(Movements!$D$2:$D$20000,Movements!$B$2:$B$20000,$A369,Movements!$C$2:$C$20000,"ADJUST+")-SUMIFS(Movements!$D$2:$D$20000,Movements!$B$2:$B$20000,$A369,Movements!$C$2:$C$20000,"ISSUE")-SUMIFS(Movements!$D$2:$D$20000,Movements!$B$2:$B$20000,$A369,Movements!$C$2:$C$20000,"SCRAP")-SUMIFS(Movements!$D$2:$D$20000,Movements!$B$2:$B$20000,$A369,Movements!$C$2:$C$20000,"ADJUST-")</f>
        <v/>
      </c>
      <c r="F369" s="16" t="n">
        <v>10</v>
      </c>
      <c r="G369" s="23">
        <f>IF($E369&lt;=0,"OUT OF STOCK",IF(AND($F369&gt;0,$E369&lt;=$F369*0.2),"LOW STOCK","IN STOCK"))</f>
        <v/>
      </c>
    </row>
    <row r="370" ht="15" customHeight="1" s="13">
      <c r="A370" s="16" t="inlineStr">
        <is>
          <t>332/T4409</t>
        </is>
      </c>
      <c r="B370" s="16" t="inlineStr">
        <is>
          <t>26 Way Superseal 1.0 SKT HSG Key 1</t>
        </is>
      </c>
      <c r="C370" s="16" t="inlineStr">
        <is>
          <t>NO</t>
        </is>
      </c>
      <c r="D370" s="16" t="inlineStr">
        <is>
          <t>D2-1</t>
        </is>
      </c>
      <c r="E370" s="22">
        <f>SUMIFS(Movements!$D$2:$D$20000,Movements!$B$2:$B$20000,$A370,Movements!$C$2:$C$20000,"RECEIPT")+SUMIFS(Movements!$D$2:$D$20000,Movements!$B$2:$B$20000,$A370,Movements!$C$2:$C$20000,"RETURN")+SUMIFS(Movements!$D$2:$D$20000,Movements!$B$2:$B$20000,$A370,Movements!$C$2:$C$20000,"ADJUST+")-SUMIFS(Movements!$D$2:$D$20000,Movements!$B$2:$B$20000,$A370,Movements!$C$2:$C$20000,"ISSUE")-SUMIFS(Movements!$D$2:$D$20000,Movements!$B$2:$B$20000,$A370,Movements!$C$2:$C$20000,"SCRAP")-SUMIFS(Movements!$D$2:$D$20000,Movements!$B$2:$B$20000,$A370,Movements!$C$2:$C$20000,"ADJUST-")</f>
        <v/>
      </c>
      <c r="F370" s="16" t="n">
        <v>3</v>
      </c>
      <c r="G370" s="23">
        <f>IF($E370&lt;=0,"OUT OF STOCK",IF(AND($F370&gt;0,$E370&lt;=$F370*0.2),"LOW STOCK","IN STOCK"))</f>
        <v/>
      </c>
    </row>
    <row r="371" ht="15" customHeight="1" s="13">
      <c r="A371" s="16" t="inlineStr">
        <is>
          <t>7204/0036</t>
        </is>
      </c>
      <c r="B371" s="16" t="inlineStr">
        <is>
          <t>0.35-1.5 Size 20 Pin Terminal</t>
        </is>
      </c>
      <c r="C371" s="16" t="inlineStr">
        <is>
          <t>NO</t>
        </is>
      </c>
      <c r="D371" s="16" t="inlineStr">
        <is>
          <t>D2-1</t>
        </is>
      </c>
      <c r="E371" s="22">
        <f>SUMIFS(Movements!$D$2:$D$20000,Movements!$B$2:$B$20000,$A371,Movements!$C$2:$C$20000,"RECEIPT")+SUMIFS(Movements!$D$2:$D$20000,Movements!$B$2:$B$20000,$A371,Movements!$C$2:$C$20000,"RETURN")+SUMIFS(Movements!$D$2:$D$20000,Movements!$B$2:$B$20000,$A371,Movements!$C$2:$C$20000,"ADJUST+")-SUMIFS(Movements!$D$2:$D$20000,Movements!$B$2:$B$20000,$A371,Movements!$C$2:$C$20000,"ISSUE")-SUMIFS(Movements!$D$2:$D$20000,Movements!$B$2:$B$20000,$A371,Movements!$C$2:$C$20000,"SCRAP")-SUMIFS(Movements!$D$2:$D$20000,Movements!$B$2:$B$20000,$A371,Movements!$C$2:$C$20000,"ADJUST-")</f>
        <v/>
      </c>
      <c r="F371" s="16" t="n">
        <v>220</v>
      </c>
      <c r="G371" s="23">
        <f>IF($E371&lt;=0,"OUT OF STOCK",IF(AND($F371&gt;0,$E371&lt;=$F371*0.2),"LOW STOCK","IN STOCK"))</f>
        <v/>
      </c>
    </row>
    <row r="372" ht="15" customHeight="1" s="13">
      <c r="A372" s="16" t="inlineStr">
        <is>
          <t>7204/0027</t>
        </is>
      </c>
      <c r="B372" s="16" t="inlineStr">
        <is>
          <t>0.5-1.0 DT Size 16 Pin Terminal Tin</t>
        </is>
      </c>
      <c r="C372" s="16" t="inlineStr">
        <is>
          <t>NO</t>
        </is>
      </c>
      <c r="D372" s="16" t="inlineStr">
        <is>
          <t>PENDING</t>
        </is>
      </c>
      <c r="E372" s="22">
        <f>SUMIFS(Movements!$D$2:$D$20000,Movements!$B$2:$B$20000,$A372,Movements!$C$2:$C$20000,"RECEIPT")+SUMIFS(Movements!$D$2:$D$20000,Movements!$B$2:$B$20000,$A372,Movements!$C$2:$C$20000,"RETURN")+SUMIFS(Movements!$D$2:$D$20000,Movements!$B$2:$B$20000,$A372,Movements!$C$2:$C$20000,"ADJUST+")-SUMIFS(Movements!$D$2:$D$20000,Movements!$B$2:$B$20000,$A372,Movements!$C$2:$C$20000,"ISSUE")-SUMIFS(Movements!$D$2:$D$20000,Movements!$B$2:$B$20000,$A372,Movements!$C$2:$C$20000,"SCRAP")-SUMIFS(Movements!$D$2:$D$20000,Movements!$B$2:$B$20000,$A372,Movements!$C$2:$C$20000,"ADJUST-")</f>
        <v/>
      </c>
      <c r="F372" s="16" t="n">
        <v>200</v>
      </c>
      <c r="G372" s="23">
        <f>IF($E372&lt;=0,"OUT OF STOCK",IF(AND($F372&gt;0,$E372&lt;=$F372*0.2),"LOW STOCK","IN STOCK"))</f>
        <v/>
      </c>
    </row>
    <row r="373" ht="15" customHeight="1" s="13">
      <c r="A373" s="16" t="inlineStr">
        <is>
          <t>401/K4978</t>
        </is>
      </c>
      <c r="B373" s="16" t="inlineStr">
        <is>
          <t>12 Way DT04 Flange Pin Housing</t>
        </is>
      </c>
      <c r="C373" s="16" t="inlineStr">
        <is>
          <t>NO</t>
        </is>
      </c>
      <c r="D373" s="16" t="inlineStr">
        <is>
          <t>D2-1</t>
        </is>
      </c>
      <c r="E373" s="22">
        <f>SUMIFS(Movements!$D$2:$D$20000,Movements!$B$2:$B$20000,$A373,Movements!$C$2:$C$20000,"RECEIPT")+SUMIFS(Movements!$D$2:$D$20000,Movements!$B$2:$B$20000,$A373,Movements!$C$2:$C$20000,"RETURN")+SUMIFS(Movements!$D$2:$D$20000,Movements!$B$2:$B$20000,$A373,Movements!$C$2:$C$20000,"ADJUST+")-SUMIFS(Movements!$D$2:$D$20000,Movements!$B$2:$B$20000,$A373,Movements!$C$2:$C$20000,"ISSUE")-SUMIFS(Movements!$D$2:$D$20000,Movements!$B$2:$B$20000,$A373,Movements!$C$2:$C$20000,"SCRAP")-SUMIFS(Movements!$D$2:$D$20000,Movements!$B$2:$B$20000,$A373,Movements!$C$2:$C$20000,"ADJUST-")</f>
        <v/>
      </c>
      <c r="F373" s="16" t="n">
        <v>5</v>
      </c>
      <c r="G373" s="23">
        <f>IF($E373&lt;=0,"OUT OF STOCK",IF(AND($F373&gt;0,$E373&lt;=$F373*0.2),"LOW STOCK","IN STOCK"))</f>
        <v/>
      </c>
    </row>
    <row r="374" ht="15" customHeight="1" s="13">
      <c r="A374" s="16" t="inlineStr">
        <is>
          <t>7201/0120</t>
        </is>
      </c>
      <c r="B374" s="16" t="inlineStr">
        <is>
          <t>0.50-1.50mm² Size 20 Socket Terminal Gold</t>
        </is>
      </c>
      <c r="C374" s="16" t="inlineStr">
        <is>
          <t>NO</t>
        </is>
      </c>
      <c r="D374" s="16" t="inlineStr">
        <is>
          <t>D2-1</t>
        </is>
      </c>
      <c r="E374" s="22">
        <f>SUMIFS(Movements!$D$2:$D$20000,Movements!$B$2:$B$20000,$A374,Movements!$C$2:$C$20000,"RECEIPT")+SUMIFS(Movements!$D$2:$D$20000,Movements!$B$2:$B$20000,$A374,Movements!$C$2:$C$20000,"RETURN")+SUMIFS(Movements!$D$2:$D$20000,Movements!$B$2:$B$20000,$A374,Movements!$C$2:$C$20000,"ADJUST+")-SUMIFS(Movements!$D$2:$D$20000,Movements!$B$2:$B$20000,$A374,Movements!$C$2:$C$20000,"ISSUE")-SUMIFS(Movements!$D$2:$D$20000,Movements!$B$2:$B$20000,$A374,Movements!$C$2:$C$20000,"SCRAP")-SUMIFS(Movements!$D$2:$D$20000,Movements!$B$2:$B$20000,$A374,Movements!$C$2:$C$20000,"ADJUST-")</f>
        <v/>
      </c>
      <c r="F374" s="16" t="n">
        <v>100</v>
      </c>
      <c r="G374" s="23">
        <f>IF($E374&lt;=0,"OUT OF STOCK",IF(AND($F374&gt;0,$E374&lt;=$F374*0.2),"LOW STOCK","IN STOCK"))</f>
        <v/>
      </c>
    </row>
    <row r="375" ht="15" customHeight="1" s="13">
      <c r="A375" s="16" t="inlineStr">
        <is>
          <t>7214/0029</t>
        </is>
      </c>
      <c r="B375" s="16" t="inlineStr">
        <is>
          <t>4 Way DTM04 Pin Housing</t>
        </is>
      </c>
      <c r="C375" s="16" t="inlineStr">
        <is>
          <t>NO</t>
        </is>
      </c>
      <c r="D375" s="16" t="inlineStr">
        <is>
          <t>D2-1</t>
        </is>
      </c>
      <c r="E375" s="22">
        <f>SUMIFS(Movements!$D$2:$D$20000,Movements!$B$2:$B$20000,$A375,Movements!$C$2:$C$20000,"RECEIPT")+SUMIFS(Movements!$D$2:$D$20000,Movements!$B$2:$B$20000,$A375,Movements!$C$2:$C$20000,"RETURN")+SUMIFS(Movements!$D$2:$D$20000,Movements!$B$2:$B$20000,$A375,Movements!$C$2:$C$20000,"ADJUST+")-SUMIFS(Movements!$D$2:$D$20000,Movements!$B$2:$B$20000,$A375,Movements!$C$2:$C$20000,"ISSUE")-SUMIFS(Movements!$D$2:$D$20000,Movements!$B$2:$B$20000,$A375,Movements!$C$2:$C$20000,"SCRAP")-SUMIFS(Movements!$D$2:$D$20000,Movements!$B$2:$B$20000,$A375,Movements!$C$2:$C$20000,"ADJUST-")</f>
        <v/>
      </c>
      <c r="F375" s="16" t="n">
        <v>10</v>
      </c>
      <c r="G375" s="23">
        <f>IF($E375&lt;=0,"OUT OF STOCK",IF(AND($F375&gt;0,$E375&lt;=$F375*0.2),"LOW STOCK","IN STOCK"))</f>
        <v/>
      </c>
    </row>
    <row r="376" ht="15" customHeight="1" s="13">
      <c r="A376" s="16" t="inlineStr">
        <is>
          <t>7204/0037</t>
        </is>
      </c>
      <c r="B376" s="16" t="inlineStr">
        <is>
          <t>0.35-1.5 Size 20 Pin Terminal Gold</t>
        </is>
      </c>
      <c r="C376" s="16" t="inlineStr">
        <is>
          <t>NO</t>
        </is>
      </c>
      <c r="D376" s="16" t="inlineStr">
        <is>
          <t>D2-1</t>
        </is>
      </c>
      <c r="E376" s="22">
        <f>SUMIFS(Movements!$D$2:$D$20000,Movements!$B$2:$B$20000,$A376,Movements!$C$2:$C$20000,"RECEIPT")+SUMIFS(Movements!$D$2:$D$20000,Movements!$B$2:$B$20000,$A376,Movements!$C$2:$C$20000,"RETURN")+SUMIFS(Movements!$D$2:$D$20000,Movements!$B$2:$B$20000,$A376,Movements!$C$2:$C$20000,"ADJUST+")-SUMIFS(Movements!$D$2:$D$20000,Movements!$B$2:$B$20000,$A376,Movements!$C$2:$C$20000,"ISSUE")-SUMIFS(Movements!$D$2:$D$20000,Movements!$B$2:$B$20000,$A376,Movements!$C$2:$C$20000,"SCRAP")-SUMIFS(Movements!$D$2:$D$20000,Movements!$B$2:$B$20000,$A376,Movements!$C$2:$C$20000,"ADJUST-")</f>
        <v/>
      </c>
      <c r="F376" s="16" t="n">
        <v>100</v>
      </c>
      <c r="G376" s="23">
        <f>IF($E376&lt;=0,"OUT OF STOCK",IF(AND($F376&gt;0,$E376&lt;=$F376*0.2),"LOW STOCK","IN STOCK"))</f>
        <v/>
      </c>
    </row>
    <row r="377" ht="15" customHeight="1" s="13">
      <c r="A377" s="16" t="inlineStr">
        <is>
          <t>7204/0025</t>
        </is>
      </c>
      <c r="B377" s="16" t="inlineStr">
        <is>
          <t>0.75-2.0 DT Size 16 Pin Term Nickel OD 2.41-3.81</t>
        </is>
      </c>
      <c r="C377" s="16" t="inlineStr">
        <is>
          <t>NO</t>
        </is>
      </c>
      <c r="D377" s="16" t="inlineStr">
        <is>
          <t>D2-1</t>
        </is>
      </c>
      <c r="E377" s="22">
        <f>SUMIFS(Movements!$D$2:$D$20000,Movements!$B$2:$B$20000,$A377,Movements!$C$2:$C$20000,"RECEIPT")+SUMIFS(Movements!$D$2:$D$20000,Movements!$B$2:$B$20000,$A377,Movements!$C$2:$C$20000,"RETURN")+SUMIFS(Movements!$D$2:$D$20000,Movements!$B$2:$B$20000,$A377,Movements!$C$2:$C$20000,"ADJUST+")-SUMIFS(Movements!$D$2:$D$20000,Movements!$B$2:$B$20000,$A377,Movements!$C$2:$C$20000,"ISSUE")-SUMIFS(Movements!$D$2:$D$20000,Movements!$B$2:$B$20000,$A377,Movements!$C$2:$C$20000,"SCRAP")-SUMIFS(Movements!$D$2:$D$20000,Movements!$B$2:$B$20000,$A377,Movements!$C$2:$C$20000,"ADJUST-")</f>
        <v/>
      </c>
      <c r="F377" s="16" t="n">
        <v>70</v>
      </c>
      <c r="G377" s="23">
        <f>IF($E377&lt;=0,"OUT OF STOCK",IF(AND($F377&gt;0,$E377&lt;=$F377*0.2),"LOW STOCK","IN STOCK"))</f>
        <v/>
      </c>
    </row>
    <row r="378" ht="15" customHeight="1" s="13">
      <c r="A378" s="16" t="inlineStr">
        <is>
          <t>7201/1133</t>
        </is>
      </c>
      <c r="B378" s="16" t="inlineStr">
        <is>
          <t>1.00-1.50mm2 MCON 1.2 SKT Term</t>
        </is>
      </c>
      <c r="C378" s="16" t="inlineStr">
        <is>
          <t>NO</t>
        </is>
      </c>
      <c r="D378" s="16" t="inlineStr">
        <is>
          <t>D2-1</t>
        </is>
      </c>
      <c r="E378" s="22">
        <f>SUMIFS(Movements!$D$2:$D$20000,Movements!$B$2:$B$20000,$A378,Movements!$C$2:$C$20000,"RECEIPT")+SUMIFS(Movements!$D$2:$D$20000,Movements!$B$2:$B$20000,$A378,Movements!$C$2:$C$20000,"RETURN")+SUMIFS(Movements!$D$2:$D$20000,Movements!$B$2:$B$20000,$A378,Movements!$C$2:$C$20000,"ADJUST+")-SUMIFS(Movements!$D$2:$D$20000,Movements!$B$2:$B$20000,$A378,Movements!$C$2:$C$20000,"ISSUE")-SUMIFS(Movements!$D$2:$D$20000,Movements!$B$2:$B$20000,$A378,Movements!$C$2:$C$20000,"SCRAP")-SUMIFS(Movements!$D$2:$D$20000,Movements!$B$2:$B$20000,$A378,Movements!$C$2:$C$20000,"ADJUST-")</f>
        <v/>
      </c>
      <c r="F378" s="16" t="n">
        <v>100</v>
      </c>
      <c r="G378" s="23">
        <f>IF($E378&lt;=0,"OUT OF STOCK",IF(AND($F378&gt;0,$E378&lt;=$F378*0.2),"LOW STOCK","IN STOCK"))</f>
        <v/>
      </c>
    </row>
    <row r="379" ht="15" customHeight="1" s="13">
      <c r="A379" s="16" t="inlineStr">
        <is>
          <t>7204/0258</t>
        </is>
      </c>
      <c r="B379" s="16" t="inlineStr">
        <is>
          <t>0.5-0.75mm2 MCON 1.2 Pin Term</t>
        </is>
      </c>
      <c r="C379" s="16" t="inlineStr">
        <is>
          <t>NO</t>
        </is>
      </c>
      <c r="D379" s="16" t="inlineStr">
        <is>
          <t>D2-1</t>
        </is>
      </c>
      <c r="E379" s="22">
        <f>SUMIFS(Movements!$D$2:$D$20000,Movements!$B$2:$B$20000,$A379,Movements!$C$2:$C$20000,"RECEIPT")+SUMIFS(Movements!$D$2:$D$20000,Movements!$B$2:$B$20000,$A379,Movements!$C$2:$C$20000,"RETURN")+SUMIFS(Movements!$D$2:$D$20000,Movements!$B$2:$B$20000,$A379,Movements!$C$2:$C$20000,"ADJUST+")-SUMIFS(Movements!$D$2:$D$20000,Movements!$B$2:$B$20000,$A379,Movements!$C$2:$C$20000,"ISSUE")-SUMIFS(Movements!$D$2:$D$20000,Movements!$B$2:$B$20000,$A379,Movements!$C$2:$C$20000,"SCRAP")-SUMIFS(Movements!$D$2:$D$20000,Movements!$B$2:$B$20000,$A379,Movements!$C$2:$C$20000,"ADJUST-")</f>
        <v/>
      </c>
      <c r="F379" s="16" t="n">
        <v>100</v>
      </c>
      <c r="G379" s="23">
        <f>IF($E379&lt;=0,"OUT OF STOCK",IF(AND($F379&gt;0,$E379&lt;=$F379*0.2),"LOW STOCK","IN STOCK"))</f>
        <v/>
      </c>
    </row>
    <row r="380" ht="15" customHeight="1" s="13">
      <c r="A380" s="16" t="inlineStr">
        <is>
          <t>7210/0264</t>
        </is>
      </c>
      <c r="B380" s="16" t="inlineStr">
        <is>
          <t>Cavity Plug MCON1.2 Brown</t>
        </is>
      </c>
      <c r="C380" s="16" t="inlineStr">
        <is>
          <t>NO</t>
        </is>
      </c>
      <c r="D380" s="16" t="inlineStr">
        <is>
          <t>D2-1</t>
        </is>
      </c>
      <c r="E380" s="22">
        <f>SUMIFS(Movements!$D$2:$D$20000,Movements!$B$2:$B$20000,$A380,Movements!$C$2:$C$20000,"RECEIPT")+SUMIFS(Movements!$D$2:$D$20000,Movements!$B$2:$B$20000,$A380,Movements!$C$2:$C$20000,"RETURN")+SUMIFS(Movements!$D$2:$D$20000,Movements!$B$2:$B$20000,$A380,Movements!$C$2:$C$20000,"ADJUST+")-SUMIFS(Movements!$D$2:$D$20000,Movements!$B$2:$B$20000,$A380,Movements!$C$2:$C$20000,"ISSUE")-SUMIFS(Movements!$D$2:$D$20000,Movements!$B$2:$B$20000,$A380,Movements!$C$2:$C$20000,"SCRAP")-SUMIFS(Movements!$D$2:$D$20000,Movements!$B$2:$B$20000,$A380,Movements!$C$2:$C$20000,"ADJUST-")</f>
        <v/>
      </c>
      <c r="F380" s="16" t="n">
        <v>10</v>
      </c>
      <c r="G380" s="23">
        <f>IF($E380&lt;=0,"OUT OF STOCK",IF(AND($F380&gt;0,$E380&lt;=$F380*0.2),"LOW STOCK","IN STOCK"))</f>
        <v/>
      </c>
    </row>
    <row r="381" ht="15" customHeight="1" s="13">
      <c r="A381" s="16" t="inlineStr">
        <is>
          <t>P_SP_ELEC_COM_770</t>
        </is>
      </c>
      <c r="B381" s="16" t="inlineStr">
        <is>
          <t>Heat shrink sleeve - 1 sqr mm</t>
        </is>
      </c>
      <c r="C381" s="16" t="inlineStr">
        <is>
          <t>M</t>
        </is>
      </c>
      <c r="D381" s="16" t="inlineStr">
        <is>
          <t>EDS CUPBOARD</t>
        </is>
      </c>
      <c r="E381" s="22">
        <f>SUMIFS(Movements!$D$2:$D$20000,Movements!$B$2:$B$20000,$A381,Movements!$C$2:$C$20000,"RECEIPT")+SUMIFS(Movements!$D$2:$D$20000,Movements!$B$2:$B$20000,$A381,Movements!$C$2:$C$20000,"RETURN")+SUMIFS(Movements!$D$2:$D$20000,Movements!$B$2:$B$20000,$A381,Movements!$C$2:$C$20000,"ADJUST+")-SUMIFS(Movements!$D$2:$D$20000,Movements!$B$2:$B$20000,$A381,Movements!$C$2:$C$20000,"ISSUE")-SUMIFS(Movements!$D$2:$D$20000,Movements!$B$2:$B$20000,$A381,Movements!$C$2:$C$20000,"SCRAP")-SUMIFS(Movements!$D$2:$D$20000,Movements!$B$2:$B$20000,$A381,Movements!$C$2:$C$20000,"ADJUST-")</f>
        <v/>
      </c>
      <c r="F381" s="16" t="n">
        <v>1000</v>
      </c>
      <c r="G381" s="23">
        <f>IF($E381&lt;=0,"OUT OF STOCK",IF(AND($F381&gt;0,$E381&lt;=$F381*0.2),"LOW STOCK","IN STOCK"))</f>
        <v/>
      </c>
    </row>
    <row r="382" ht="15" customHeight="1" s="13">
      <c r="A382" s="16" t="inlineStr">
        <is>
          <t>P_SP_CABL_POL_141</t>
        </is>
      </c>
      <c r="B382" s="16" t="inlineStr">
        <is>
          <t>2.MM HEAT SHRINKABLE TUBE</t>
        </is>
      </c>
      <c r="C382" s="16" t="inlineStr">
        <is>
          <t>M</t>
        </is>
      </c>
      <c r="D382" s="16" t="inlineStr">
        <is>
          <t>EDS CUPBOARD</t>
        </is>
      </c>
      <c r="E382" s="22">
        <f>SUMIFS(Movements!$D$2:$D$20000,Movements!$B$2:$B$20000,$A382,Movements!$C$2:$C$20000,"RECEIPT")+SUMIFS(Movements!$D$2:$D$20000,Movements!$B$2:$B$20000,$A382,Movements!$C$2:$C$20000,"RETURN")+SUMIFS(Movements!$D$2:$D$20000,Movements!$B$2:$B$20000,$A382,Movements!$C$2:$C$20000,"ADJUST+")-SUMIFS(Movements!$D$2:$D$20000,Movements!$B$2:$B$20000,$A382,Movements!$C$2:$C$20000,"ISSUE")-SUMIFS(Movements!$D$2:$D$20000,Movements!$B$2:$B$20000,$A382,Movements!$C$2:$C$20000,"SCRAP")-SUMIFS(Movements!$D$2:$D$20000,Movements!$B$2:$B$20000,$A382,Movements!$C$2:$C$20000,"ADJUST-")</f>
        <v/>
      </c>
      <c r="F382" s="16" t="n">
        <v>1000</v>
      </c>
      <c r="G382" s="23">
        <f>IF($E382&lt;=0,"OUT OF STOCK",IF(AND($F382&gt;0,$E382&lt;=$F382*0.2),"LOW STOCK","IN STOCK"))</f>
        <v/>
      </c>
    </row>
    <row r="383" ht="15" customHeight="1" s="13">
      <c r="A383" s="16" t="inlineStr">
        <is>
          <t>P_SP_CABL_POL_142</t>
        </is>
      </c>
      <c r="B383" s="16" t="inlineStr">
        <is>
          <t>3.MM HEAT SHRINKABLE TUBE</t>
        </is>
      </c>
      <c r="C383" s="16" t="inlineStr">
        <is>
          <t>M</t>
        </is>
      </c>
      <c r="D383" s="16" t="inlineStr">
        <is>
          <t>EDS CUPBOARD</t>
        </is>
      </c>
      <c r="E383" s="22">
        <f>SUMIFS(Movements!$D$2:$D$20000,Movements!$B$2:$B$20000,$A383,Movements!$C$2:$C$20000,"RECEIPT")+SUMIFS(Movements!$D$2:$D$20000,Movements!$B$2:$B$20000,$A383,Movements!$C$2:$C$20000,"RETURN")+SUMIFS(Movements!$D$2:$D$20000,Movements!$B$2:$B$20000,$A383,Movements!$C$2:$C$20000,"ADJUST+")-SUMIFS(Movements!$D$2:$D$20000,Movements!$B$2:$B$20000,$A383,Movements!$C$2:$C$20000,"ISSUE")-SUMIFS(Movements!$D$2:$D$20000,Movements!$B$2:$B$20000,$A383,Movements!$C$2:$C$20000,"SCRAP")-SUMIFS(Movements!$D$2:$D$20000,Movements!$B$2:$B$20000,$A383,Movements!$C$2:$C$20000,"ADJUST-")</f>
        <v/>
      </c>
      <c r="F383" s="16" t="n">
        <v>500</v>
      </c>
      <c r="G383" s="23">
        <f>IF($E383&lt;=0,"OUT OF STOCK",IF(AND($F383&gt;0,$E383&lt;=$F383*0.2),"LOW STOCK","IN STOCK"))</f>
        <v/>
      </c>
    </row>
    <row r="384" ht="15" customHeight="1" s="13">
      <c r="A384" s="16" t="inlineStr">
        <is>
          <t>P_SP_ELEC_COM_772</t>
        </is>
      </c>
      <c r="B384" s="16" t="inlineStr">
        <is>
          <t>Heat shrink sleeve - 4 sqr mm</t>
        </is>
      </c>
      <c r="C384" s="16" t="inlineStr">
        <is>
          <t>M</t>
        </is>
      </c>
      <c r="D384" s="16" t="inlineStr">
        <is>
          <t>EDS CUPBOARD</t>
        </is>
      </c>
      <c r="E384" s="22">
        <f>SUMIFS(Movements!$D$2:$D$20000,Movements!$B$2:$B$20000,$A384,Movements!$C$2:$C$20000,"RECEIPT")+SUMIFS(Movements!$D$2:$D$20000,Movements!$B$2:$B$20000,$A384,Movements!$C$2:$C$20000,"RETURN")+SUMIFS(Movements!$D$2:$D$20000,Movements!$B$2:$B$20000,$A384,Movements!$C$2:$C$20000,"ADJUST+")-SUMIFS(Movements!$D$2:$D$20000,Movements!$B$2:$B$20000,$A384,Movements!$C$2:$C$20000,"ISSUE")-SUMIFS(Movements!$D$2:$D$20000,Movements!$B$2:$B$20000,$A384,Movements!$C$2:$C$20000,"SCRAP")-SUMIFS(Movements!$D$2:$D$20000,Movements!$B$2:$B$20000,$A384,Movements!$C$2:$C$20000,"ADJUST-")</f>
        <v/>
      </c>
      <c r="F384" s="16" t="n">
        <v>300</v>
      </c>
      <c r="G384" s="23">
        <f>IF($E384&lt;=0,"OUT OF STOCK",IF(AND($F384&gt;0,$E384&lt;=$F384*0.2),"LOW STOCK","IN STOCK"))</f>
        <v/>
      </c>
    </row>
    <row r="385" ht="15" customHeight="1" s="13">
      <c r="A385" s="16" t="inlineStr">
        <is>
          <t>P_SP_MATH_MAI_208</t>
        </is>
      </c>
      <c r="B385" s="16" t="inlineStr">
        <is>
          <t>Crocodile Clips Pair Fronius</t>
        </is>
      </c>
      <c r="C385" s="16" t="inlineStr">
        <is>
          <t>EACH</t>
        </is>
      </c>
      <c r="D385" s="16" t="inlineStr">
        <is>
          <t>EDS CUPBOARD</t>
        </is>
      </c>
      <c r="E385" s="22">
        <f>SUMIFS(Movements!$D$2:$D$20000,Movements!$B$2:$B$20000,$A385,Movements!$C$2:$C$20000,"RECEIPT")+SUMIFS(Movements!$D$2:$D$20000,Movements!$B$2:$B$20000,$A385,Movements!$C$2:$C$20000,"RETURN")+SUMIFS(Movements!$D$2:$D$20000,Movements!$B$2:$B$20000,$A385,Movements!$C$2:$C$20000,"ADJUST+")-SUMIFS(Movements!$D$2:$D$20000,Movements!$B$2:$B$20000,$A385,Movements!$C$2:$C$20000,"ISSUE")-SUMIFS(Movements!$D$2:$D$20000,Movements!$B$2:$B$20000,$A385,Movements!$C$2:$C$20000,"SCRAP")-SUMIFS(Movements!$D$2:$D$20000,Movements!$B$2:$B$20000,$A385,Movements!$C$2:$C$20000,"ADJUST-")</f>
        <v/>
      </c>
      <c r="F385" s="16" t="n">
        <v>10</v>
      </c>
      <c r="G385" s="23">
        <f>IF($E385&lt;=0,"OUT OF STOCK",IF(AND($F385&gt;0,$E385&lt;=$F385*0.2),"LOW STOCK","IN STOCK"))</f>
        <v/>
      </c>
    </row>
    <row r="386" ht="15" customHeight="1" s="13">
      <c r="A386" s="16" t="inlineStr">
        <is>
          <t>P_CON_GEN_GEN_115</t>
        </is>
      </c>
      <c r="B386" s="16" t="inlineStr">
        <is>
          <t>BANANA CLAMP</t>
        </is>
      </c>
      <c r="C386" s="16" t="inlineStr">
        <is>
          <t>EACH</t>
        </is>
      </c>
      <c r="D386" s="16" t="inlineStr">
        <is>
          <t>EDS CUPBOARD</t>
        </is>
      </c>
      <c r="E386" s="22">
        <f>SUMIFS(Movements!$D$2:$D$20000,Movements!$B$2:$B$20000,$A386,Movements!$C$2:$C$20000,"RECEIPT")+SUMIFS(Movements!$D$2:$D$20000,Movements!$B$2:$B$20000,$A386,Movements!$C$2:$C$20000,"RETURN")+SUMIFS(Movements!$D$2:$D$20000,Movements!$B$2:$B$20000,$A386,Movements!$C$2:$C$20000,"ADJUST+")-SUMIFS(Movements!$D$2:$D$20000,Movements!$B$2:$B$20000,$A386,Movements!$C$2:$C$20000,"ISSUE")-SUMIFS(Movements!$D$2:$D$20000,Movements!$B$2:$B$20000,$A386,Movements!$C$2:$C$20000,"SCRAP")-SUMIFS(Movements!$D$2:$D$20000,Movements!$B$2:$B$20000,$A386,Movements!$C$2:$C$20000,"ADJUST-")</f>
        <v/>
      </c>
      <c r="F386" s="16" t="n">
        <v>50</v>
      </c>
      <c r="G386" s="23">
        <f>IF($E386&lt;=0,"OUT OF STOCK",IF(AND($F386&gt;0,$E386&lt;=$F386*0.2),"LOW STOCK","IN STOCK"))</f>
        <v/>
      </c>
    </row>
    <row r="387" ht="15" customHeight="1" s="13">
      <c r="A387" s="16" t="inlineStr">
        <is>
          <t>400/E3562</t>
        </is>
      </c>
      <c r="B387" s="16" t="inlineStr">
        <is>
          <t>ANGLE SENSOR - 120DEG DUAL OUTPUT</t>
        </is>
      </c>
      <c r="C387" s="16" t="inlineStr">
        <is>
          <t>NO</t>
        </is>
      </c>
      <c r="D387" s="16" t="inlineStr">
        <is>
          <t>D2-1</t>
        </is>
      </c>
      <c r="E387" s="22">
        <f>SUMIFS(Movements!$D$2:$D$20000,Movements!$B$2:$B$20000,$A387,Movements!$C$2:$C$20000,"RECEIPT")+SUMIFS(Movements!$D$2:$D$20000,Movements!$B$2:$B$20000,$A387,Movements!$C$2:$C$20000,"RETURN")+SUMIFS(Movements!$D$2:$D$20000,Movements!$B$2:$B$20000,$A387,Movements!$C$2:$C$20000,"ADJUST+")-SUMIFS(Movements!$D$2:$D$20000,Movements!$B$2:$B$20000,$A387,Movements!$C$2:$C$20000,"ISSUE")-SUMIFS(Movements!$D$2:$D$20000,Movements!$B$2:$B$20000,$A387,Movements!$C$2:$C$20000,"SCRAP")-SUMIFS(Movements!$D$2:$D$20000,Movements!$B$2:$B$20000,$A387,Movements!$C$2:$C$20000,"ADJUST-")</f>
        <v/>
      </c>
      <c r="F387" s="16" t="n">
        <v>5</v>
      </c>
      <c r="G387" s="23">
        <f>IF($E387&lt;=0,"OUT OF STOCK",IF(AND($F387&gt;0,$E387&lt;=$F387*0.2),"LOW STOCK","IN STOCK"))</f>
        <v/>
      </c>
    </row>
    <row r="388" ht="15" customHeight="1" s="13">
      <c r="A388" s="16" t="inlineStr">
        <is>
          <t>717/07023</t>
        </is>
      </c>
      <c r="B388" s="16" t="inlineStr">
        <is>
          <t>RADIO BT CAN DAB EU ABI P472</t>
        </is>
      </c>
      <c r="C388" s="16" t="inlineStr">
        <is>
          <t>NO</t>
        </is>
      </c>
      <c r="D388" s="16" t="inlineStr">
        <is>
          <t>HANDOVER TO CHITTA</t>
        </is>
      </c>
      <c r="E388" s="22">
        <f>SUMIFS(Movements!$D$2:$D$20000,Movements!$B$2:$B$20000,$A388,Movements!$C$2:$C$20000,"RECEIPT")+SUMIFS(Movements!$D$2:$D$20000,Movements!$B$2:$B$20000,$A388,Movements!$C$2:$C$20000,"RETURN")+SUMIFS(Movements!$D$2:$D$20000,Movements!$B$2:$B$20000,$A388,Movements!$C$2:$C$20000,"ADJUST+")-SUMIFS(Movements!$D$2:$D$20000,Movements!$B$2:$B$20000,$A388,Movements!$C$2:$C$20000,"ISSUE")-SUMIFS(Movements!$D$2:$D$20000,Movements!$B$2:$B$20000,$A388,Movements!$C$2:$C$20000,"SCRAP")-SUMIFS(Movements!$D$2:$D$20000,Movements!$B$2:$B$20000,$A388,Movements!$C$2:$C$20000,"ADJUST-")</f>
        <v/>
      </c>
      <c r="F388" s="16" t="n">
        <v>1</v>
      </c>
      <c r="G388" s="23">
        <f>IF($E388&lt;=0,"OUT OF STOCK",IF(AND($F388&gt;0,$E388&lt;=$F388*0.2),"LOW STOCK","IN STOCK"))</f>
        <v/>
      </c>
    </row>
    <row r="389" ht="15" customHeight="1" s="13">
      <c r="A389" s="16" t="inlineStr">
        <is>
          <t>7201/0832</t>
        </is>
      </c>
      <c r="B389" s="16" t="inlineStr">
        <is>
          <t>0.75mm² CP0.6 CMC fem term tin</t>
        </is>
      </c>
      <c r="C389" s="16" t="inlineStr">
        <is>
          <t>EACH</t>
        </is>
      </c>
      <c r="D389" s="16" t="inlineStr">
        <is>
          <t>D3-1 (POUCH 1)</t>
        </is>
      </c>
      <c r="E389" s="22">
        <f>SUMIFS(Movements!$D$2:$D$20000,Movements!$B$2:$B$20000,$A389,Movements!$C$2:$C$20000,"RECEIPT")+SUMIFS(Movements!$D$2:$D$20000,Movements!$B$2:$B$20000,$A389,Movements!$C$2:$C$20000,"RETURN")+SUMIFS(Movements!$D$2:$D$20000,Movements!$B$2:$B$20000,$A389,Movements!$C$2:$C$20000,"ADJUST+")-SUMIFS(Movements!$D$2:$D$20000,Movements!$B$2:$B$20000,$A389,Movements!$C$2:$C$20000,"ISSUE")-SUMIFS(Movements!$D$2:$D$20000,Movements!$B$2:$B$20000,$A389,Movements!$C$2:$C$20000,"SCRAP")-SUMIFS(Movements!$D$2:$D$20000,Movements!$B$2:$B$20000,$A389,Movements!$C$2:$C$20000,"ADJUST-")</f>
        <v/>
      </c>
      <c r="F389" s="16" t="n">
        <v>100</v>
      </c>
      <c r="G389" s="23">
        <f>IF($E389&lt;=0,"OUT OF STOCK",IF(AND($F389&gt;0,$E389&lt;=$F389*0.2),"LOW STOCK","IN STOCK"))</f>
        <v/>
      </c>
    </row>
    <row r="390" ht="15" customHeight="1" s="13">
      <c r="A390" s="16" t="inlineStr">
        <is>
          <t>7243/0453</t>
        </is>
      </c>
      <c r="B390" s="16" t="inlineStr">
        <is>
          <t>48 Way CMC Adapter 45 Deg</t>
        </is>
      </c>
      <c r="C390" s="16" t="inlineStr">
        <is>
          <t>EACH</t>
        </is>
      </c>
      <c r="D390" s="16" t="inlineStr">
        <is>
          <t>D3-1</t>
        </is>
      </c>
      <c r="E390" s="22">
        <f>SUMIFS(Movements!$D$2:$D$20000,Movements!$B$2:$B$20000,$A390,Movements!$C$2:$C$20000,"RECEIPT")+SUMIFS(Movements!$D$2:$D$20000,Movements!$B$2:$B$20000,$A390,Movements!$C$2:$C$20000,"RETURN")+SUMIFS(Movements!$D$2:$D$20000,Movements!$B$2:$B$20000,$A390,Movements!$C$2:$C$20000,"ADJUST+")-SUMIFS(Movements!$D$2:$D$20000,Movements!$B$2:$B$20000,$A390,Movements!$C$2:$C$20000,"ISSUE")-SUMIFS(Movements!$D$2:$D$20000,Movements!$B$2:$B$20000,$A390,Movements!$C$2:$C$20000,"SCRAP")-SUMIFS(Movements!$D$2:$D$20000,Movements!$B$2:$B$20000,$A390,Movements!$C$2:$C$20000,"ADJUST-")</f>
        <v/>
      </c>
      <c r="F390" s="16" t="n">
        <v>10</v>
      </c>
      <c r="G390" s="23">
        <f>IF($E390&lt;=0,"OUT OF STOCK",IF(AND($F390&gt;0,$E390&lt;=$F390*0.2),"LOW STOCK","IN STOCK"))</f>
        <v/>
      </c>
    </row>
    <row r="391" ht="15" customHeight="1" s="13">
      <c r="A391" s="16" t="inlineStr">
        <is>
          <t>332/D4893</t>
        </is>
      </c>
      <c r="B391" s="16" t="inlineStr">
        <is>
          <t>1.25-2.00mm² MX150 SKT Terminal Tin</t>
        </is>
      </c>
      <c r="C391" s="16" t="inlineStr">
        <is>
          <t>EACH</t>
        </is>
      </c>
      <c r="D391" s="16" t="inlineStr">
        <is>
          <t>D3-1 (POUCH 1)</t>
        </is>
      </c>
      <c r="E391" s="22">
        <f>SUMIFS(Movements!$D$2:$D$20000,Movements!$B$2:$B$20000,$A391,Movements!$C$2:$C$20000,"RECEIPT")+SUMIFS(Movements!$D$2:$D$20000,Movements!$B$2:$B$20000,$A391,Movements!$C$2:$C$20000,"RETURN")+SUMIFS(Movements!$D$2:$D$20000,Movements!$B$2:$B$20000,$A391,Movements!$C$2:$C$20000,"ADJUST+")-SUMIFS(Movements!$D$2:$D$20000,Movements!$B$2:$B$20000,$A391,Movements!$C$2:$C$20000,"ISSUE")-SUMIFS(Movements!$D$2:$D$20000,Movements!$B$2:$B$20000,$A391,Movements!$C$2:$C$20000,"SCRAP")-SUMIFS(Movements!$D$2:$D$20000,Movements!$B$2:$B$20000,$A391,Movements!$C$2:$C$20000,"ADJUST-")</f>
        <v/>
      </c>
      <c r="F391" s="16" t="n">
        <v>100</v>
      </c>
      <c r="G391" s="23">
        <f>IF($E391&lt;=0,"OUT OF STOCK",IF(AND($F391&gt;0,$E391&lt;=$F391*0.2),"LOW STOCK","IN STOCK"))</f>
        <v/>
      </c>
    </row>
    <row r="392" ht="15" customHeight="1" s="13">
      <c r="A392" s="16" t="inlineStr">
        <is>
          <t>7216/0043</t>
        </is>
      </c>
      <c r="B392" s="16" t="inlineStr">
        <is>
          <t>6 WAY MX150 SOCKET HOUSING</t>
        </is>
      </c>
      <c r="C392" s="16" t="inlineStr">
        <is>
          <t>EACH</t>
        </is>
      </c>
      <c r="D392" s="16" t="inlineStr">
        <is>
          <t>D3-1</t>
        </is>
      </c>
      <c r="E392" s="22">
        <f>SUMIFS(Movements!$D$2:$D$20000,Movements!$B$2:$B$20000,$A392,Movements!$C$2:$C$20000,"RECEIPT")+SUMIFS(Movements!$D$2:$D$20000,Movements!$B$2:$B$20000,$A392,Movements!$C$2:$C$20000,"RETURN")+SUMIFS(Movements!$D$2:$D$20000,Movements!$B$2:$B$20000,$A392,Movements!$C$2:$C$20000,"ADJUST+")-SUMIFS(Movements!$D$2:$D$20000,Movements!$B$2:$B$20000,$A392,Movements!$C$2:$C$20000,"ISSUE")-SUMIFS(Movements!$D$2:$D$20000,Movements!$B$2:$B$20000,$A392,Movements!$C$2:$C$20000,"SCRAP")-SUMIFS(Movements!$D$2:$D$20000,Movements!$B$2:$B$20000,$A392,Movements!$C$2:$C$20000,"ADJUST-")</f>
        <v/>
      </c>
      <c r="F392" s="16" t="n">
        <v>10</v>
      </c>
      <c r="G392" s="23">
        <f>IF($E392&lt;=0,"OUT OF STOCK",IF(AND($F392&gt;0,$E392&lt;=$F392*0.2),"LOW STOCK","IN STOCK"))</f>
        <v/>
      </c>
    </row>
    <row r="393" ht="15" customHeight="1" s="13">
      <c r="A393" s="16" t="inlineStr">
        <is>
          <t>7201/0831</t>
        </is>
      </c>
      <c r="B393" s="16" t="inlineStr">
        <is>
          <t>0.50mm² CP0.6 CMC fem term tin</t>
        </is>
      </c>
      <c r="C393" s="16" t="inlineStr">
        <is>
          <t>EACH</t>
        </is>
      </c>
      <c r="D393" s="16" t="inlineStr">
        <is>
          <t>D3-1 (POUCH 1)</t>
        </is>
      </c>
      <c r="E393" s="22">
        <f>SUMIFS(Movements!$D$2:$D$20000,Movements!$B$2:$B$20000,$A393,Movements!$C$2:$C$20000,"RECEIPT")+SUMIFS(Movements!$D$2:$D$20000,Movements!$B$2:$B$20000,$A393,Movements!$C$2:$C$20000,"RETURN")+SUMIFS(Movements!$D$2:$D$20000,Movements!$B$2:$B$20000,$A393,Movements!$C$2:$C$20000,"ADJUST+")-SUMIFS(Movements!$D$2:$D$20000,Movements!$B$2:$B$20000,$A393,Movements!$C$2:$C$20000,"ISSUE")-SUMIFS(Movements!$D$2:$D$20000,Movements!$B$2:$B$20000,$A393,Movements!$C$2:$C$20000,"SCRAP")-SUMIFS(Movements!$D$2:$D$20000,Movements!$B$2:$B$20000,$A393,Movements!$C$2:$C$20000,"ADJUST-")</f>
        <v/>
      </c>
      <c r="F393" s="16" t="n">
        <v>100</v>
      </c>
      <c r="G393" s="23">
        <f>IF($E393&lt;=0,"OUT OF STOCK",IF(AND($F393&gt;0,$E393&lt;=$F393*0.2),"LOW STOCK","IN STOCK"))</f>
        <v/>
      </c>
    </row>
    <row r="394" ht="15" customHeight="1" s="13">
      <c r="A394" s="16" t="inlineStr">
        <is>
          <t>7201/0833</t>
        </is>
      </c>
      <c r="B394" s="16" t="inlineStr">
        <is>
          <t>0.50-1.00mm² CP1.5 CMC fem term tin</t>
        </is>
      </c>
      <c r="C394" s="16" t="inlineStr">
        <is>
          <t>EACH</t>
        </is>
      </c>
      <c r="D394" s="16" t="inlineStr">
        <is>
          <t>D3-1 (POUCH 1)</t>
        </is>
      </c>
      <c r="E394" s="22">
        <f>SUMIFS(Movements!$D$2:$D$20000,Movements!$B$2:$B$20000,$A394,Movements!$C$2:$C$20000,"RECEIPT")+SUMIFS(Movements!$D$2:$D$20000,Movements!$B$2:$B$20000,$A394,Movements!$C$2:$C$20000,"RETURN")+SUMIFS(Movements!$D$2:$D$20000,Movements!$B$2:$B$20000,$A394,Movements!$C$2:$C$20000,"ADJUST+")-SUMIFS(Movements!$D$2:$D$20000,Movements!$B$2:$B$20000,$A394,Movements!$C$2:$C$20000,"ISSUE")-SUMIFS(Movements!$D$2:$D$20000,Movements!$B$2:$B$20000,$A394,Movements!$C$2:$C$20000,"SCRAP")-SUMIFS(Movements!$D$2:$D$20000,Movements!$B$2:$B$20000,$A394,Movements!$C$2:$C$20000,"ADJUST-")</f>
        <v/>
      </c>
      <c r="F394" s="16" t="n">
        <v>25</v>
      </c>
      <c r="G394" s="23">
        <f>IF($E394&lt;=0,"OUT OF STOCK",IF(AND($F394&gt;0,$E394&lt;=$F394*0.2),"LOW STOCK","IN STOCK"))</f>
        <v/>
      </c>
    </row>
    <row r="395" ht="15" customHeight="1" s="13">
      <c r="A395" s="16" t="inlineStr">
        <is>
          <t>332/D4903</t>
        </is>
      </c>
      <c r="B395" s="16" t="inlineStr">
        <is>
          <t>0.75-1.00mm² MX150 SKT Terminal Gold</t>
        </is>
      </c>
      <c r="C395" s="16" t="inlineStr">
        <is>
          <t>EACH</t>
        </is>
      </c>
      <c r="D395" s="16" t="inlineStr">
        <is>
          <t>D3-1 (POUCH 1)</t>
        </is>
      </c>
      <c r="E395" s="22">
        <f>SUMIFS(Movements!$D$2:$D$20000,Movements!$B$2:$B$20000,$A395,Movements!$C$2:$C$20000,"RECEIPT")+SUMIFS(Movements!$D$2:$D$20000,Movements!$B$2:$B$20000,$A395,Movements!$C$2:$C$20000,"RETURN")+SUMIFS(Movements!$D$2:$D$20000,Movements!$B$2:$B$20000,$A395,Movements!$C$2:$C$20000,"ADJUST+")-SUMIFS(Movements!$D$2:$D$20000,Movements!$B$2:$B$20000,$A395,Movements!$C$2:$C$20000,"ISSUE")-SUMIFS(Movements!$D$2:$D$20000,Movements!$B$2:$B$20000,$A395,Movements!$C$2:$C$20000,"SCRAP")-SUMIFS(Movements!$D$2:$D$20000,Movements!$B$2:$B$20000,$A395,Movements!$C$2:$C$20000,"ADJUST-")</f>
        <v/>
      </c>
      <c r="F395" s="16" t="n">
        <v>100</v>
      </c>
      <c r="G395" s="23">
        <f>IF($E395&lt;=0,"OUT OF STOCK",IF(AND($F395&gt;0,$E395&lt;=$F395*0.2),"LOW STOCK","IN STOCK"))</f>
        <v/>
      </c>
    </row>
    <row r="396" ht="15" customHeight="1" s="13">
      <c r="A396" s="16" t="inlineStr">
        <is>
          <t>7210/0240</t>
        </is>
      </c>
      <c r="B396" s="16" t="inlineStr">
        <is>
          <t>Cavity Plug CMC Orange</t>
        </is>
      </c>
      <c r="C396" s="16" t="inlineStr">
        <is>
          <t>EACH</t>
        </is>
      </c>
      <c r="D396" s="16" t="inlineStr">
        <is>
          <t>D3-1 (POUCH 1)</t>
        </is>
      </c>
      <c r="E396" s="22">
        <f>SUMIFS(Movements!$D$2:$D$20000,Movements!$B$2:$B$20000,$A396,Movements!$C$2:$C$20000,"RECEIPT")+SUMIFS(Movements!$D$2:$D$20000,Movements!$B$2:$B$20000,$A396,Movements!$C$2:$C$20000,"RETURN")+SUMIFS(Movements!$D$2:$D$20000,Movements!$B$2:$B$20000,$A396,Movements!$C$2:$C$20000,"ADJUST+")-SUMIFS(Movements!$D$2:$D$20000,Movements!$B$2:$B$20000,$A396,Movements!$C$2:$C$20000,"ISSUE")-SUMIFS(Movements!$D$2:$D$20000,Movements!$B$2:$B$20000,$A396,Movements!$C$2:$C$20000,"SCRAP")-SUMIFS(Movements!$D$2:$D$20000,Movements!$B$2:$B$20000,$A396,Movements!$C$2:$C$20000,"ADJUST-")</f>
        <v/>
      </c>
      <c r="F396" s="16" t="n">
        <v>500</v>
      </c>
      <c r="G396" s="23">
        <f>IF($E396&lt;=0,"OUT OF STOCK",IF(AND($F396&gt;0,$E396&lt;=$F396*0.2),"LOW STOCK","IN STOCK"))</f>
        <v/>
      </c>
    </row>
    <row r="397" ht="15" customHeight="1" s="13">
      <c r="A397" s="16" t="inlineStr">
        <is>
          <t>7210/0205</t>
        </is>
      </c>
      <c r="B397" s="16" t="inlineStr">
        <is>
          <t>Cavity Plug SRC/ MX150 White</t>
        </is>
      </c>
      <c r="C397" s="16" t="inlineStr">
        <is>
          <t>EACH</t>
        </is>
      </c>
      <c r="D397" s="16" t="inlineStr">
        <is>
          <t>D3-1 (POUCH 1)</t>
        </is>
      </c>
      <c r="E397" s="22">
        <f>SUMIFS(Movements!$D$2:$D$20000,Movements!$B$2:$B$20000,$A397,Movements!$C$2:$C$20000,"RECEIPT")+SUMIFS(Movements!$D$2:$D$20000,Movements!$B$2:$B$20000,$A397,Movements!$C$2:$C$20000,"RETURN")+SUMIFS(Movements!$D$2:$D$20000,Movements!$B$2:$B$20000,$A397,Movements!$C$2:$C$20000,"ADJUST+")-SUMIFS(Movements!$D$2:$D$20000,Movements!$B$2:$B$20000,$A397,Movements!$C$2:$C$20000,"ISSUE")-SUMIFS(Movements!$D$2:$D$20000,Movements!$B$2:$B$20000,$A397,Movements!$C$2:$C$20000,"SCRAP")-SUMIFS(Movements!$D$2:$D$20000,Movements!$B$2:$B$20000,$A397,Movements!$C$2:$C$20000,"ADJUST-")</f>
        <v/>
      </c>
      <c r="F397" s="16" t="n">
        <v>10</v>
      </c>
      <c r="G397" s="23">
        <f>IF($E397&lt;=0,"OUT OF STOCK",IF(AND($F397&gt;0,$E397&lt;=$F397*0.2),"LOW STOCK","IN STOCK"))</f>
        <v/>
      </c>
    </row>
    <row r="398" ht="15" customHeight="1" s="13">
      <c r="A398" s="16" t="inlineStr">
        <is>
          <t>7210/0239</t>
        </is>
      </c>
      <c r="B398" s="16" t="inlineStr">
        <is>
          <t>Cavity Plug CMC White</t>
        </is>
      </c>
      <c r="C398" s="16" t="inlineStr">
        <is>
          <t>EACH</t>
        </is>
      </c>
      <c r="D398" s="16" t="inlineStr">
        <is>
          <t>D3-1 (POUCH 1)</t>
        </is>
      </c>
      <c r="E398" s="22">
        <f>SUMIFS(Movements!$D$2:$D$20000,Movements!$B$2:$B$20000,$A398,Movements!$C$2:$C$20000,"RECEIPT")+SUMIFS(Movements!$D$2:$D$20000,Movements!$B$2:$B$20000,$A398,Movements!$C$2:$C$20000,"RETURN")+SUMIFS(Movements!$D$2:$D$20000,Movements!$B$2:$B$20000,$A398,Movements!$C$2:$C$20000,"ADJUST+")-SUMIFS(Movements!$D$2:$D$20000,Movements!$B$2:$B$20000,$A398,Movements!$C$2:$C$20000,"ISSUE")-SUMIFS(Movements!$D$2:$D$20000,Movements!$B$2:$B$20000,$A398,Movements!$C$2:$C$20000,"SCRAP")-SUMIFS(Movements!$D$2:$D$20000,Movements!$B$2:$B$20000,$A398,Movements!$C$2:$C$20000,"ADJUST-")</f>
        <v/>
      </c>
      <c r="F398" s="16" t="n">
        <v>100</v>
      </c>
      <c r="G398" s="23">
        <f>IF($E398&lt;=0,"OUT OF STOCK",IF(AND($F398&gt;0,$E398&lt;=$F398*0.2),"LOW STOCK","IN STOCK"))</f>
        <v/>
      </c>
    </row>
    <row r="399" ht="15" customHeight="1" s="13">
      <c r="A399" s="16" t="inlineStr">
        <is>
          <t>7201/1006</t>
        </is>
      </c>
      <c r="B399" s="16" t="inlineStr">
        <is>
          <t>0.35-0.5mm² M-Pack 150 Skt Term</t>
        </is>
      </c>
      <c r="C399" s="16" t="inlineStr">
        <is>
          <t>EACH</t>
        </is>
      </c>
      <c r="D399" s="16" t="inlineStr">
        <is>
          <t>D3-1 (POUCH 1)</t>
        </is>
      </c>
      <c r="E399" s="22">
        <f>SUMIFS(Movements!$D$2:$D$20000,Movements!$B$2:$B$20000,$A399,Movements!$C$2:$C$20000,"RECEIPT")+SUMIFS(Movements!$D$2:$D$20000,Movements!$B$2:$B$20000,$A399,Movements!$C$2:$C$20000,"RETURN")+SUMIFS(Movements!$D$2:$D$20000,Movements!$B$2:$B$20000,$A399,Movements!$C$2:$C$20000,"ADJUST+")-SUMIFS(Movements!$D$2:$D$20000,Movements!$B$2:$B$20000,$A399,Movements!$C$2:$C$20000,"ISSUE")-SUMIFS(Movements!$D$2:$D$20000,Movements!$B$2:$B$20000,$A399,Movements!$C$2:$C$20000,"SCRAP")-SUMIFS(Movements!$D$2:$D$20000,Movements!$B$2:$B$20000,$A399,Movements!$C$2:$C$20000,"ADJUST-")</f>
        <v/>
      </c>
      <c r="F399" s="16" t="n">
        <v>100</v>
      </c>
      <c r="G399" s="23">
        <f>IF($E399&lt;=0,"OUT OF STOCK",IF(AND($F399&gt;0,$E399&lt;=$F399*0.2),"LOW STOCK","IN STOCK"))</f>
        <v/>
      </c>
    </row>
    <row r="400" ht="15" customHeight="1" s="13">
      <c r="A400" s="16" t="inlineStr">
        <is>
          <t>7201/0765</t>
        </is>
      </c>
      <c r="B400" s="16" t="inlineStr">
        <is>
          <t>0.35-0.5MM2 MX150 FEM TERM TIN</t>
        </is>
      </c>
      <c r="C400" s="16" t="inlineStr">
        <is>
          <t>EACH</t>
        </is>
      </c>
      <c r="D400" s="16" t="inlineStr">
        <is>
          <t>D3-1 (POUCH 1)</t>
        </is>
      </c>
      <c r="E400" s="22">
        <f>SUMIFS(Movements!$D$2:$D$20000,Movements!$B$2:$B$20000,$A400,Movements!$C$2:$C$20000,"RECEIPT")+SUMIFS(Movements!$D$2:$D$20000,Movements!$B$2:$B$20000,$A400,Movements!$C$2:$C$20000,"RETURN")+SUMIFS(Movements!$D$2:$D$20000,Movements!$B$2:$B$20000,$A400,Movements!$C$2:$C$20000,"ADJUST+")-SUMIFS(Movements!$D$2:$D$20000,Movements!$B$2:$B$20000,$A400,Movements!$C$2:$C$20000,"ISSUE")-SUMIFS(Movements!$D$2:$D$20000,Movements!$B$2:$B$20000,$A400,Movements!$C$2:$C$20000,"SCRAP")-SUMIFS(Movements!$D$2:$D$20000,Movements!$B$2:$B$20000,$A400,Movements!$C$2:$C$20000,"ADJUST-")</f>
        <v/>
      </c>
      <c r="F400" s="16" t="n">
        <v>100</v>
      </c>
      <c r="G400" s="23">
        <f>IF($E400&lt;=0,"OUT OF STOCK",IF(AND($F400&gt;0,$E400&lt;=$F400*0.2),"LOW STOCK","IN STOCK"))</f>
        <v/>
      </c>
    </row>
    <row r="401" ht="15" customHeight="1" s="13">
      <c r="A401" s="16" t="inlineStr">
        <is>
          <t>7219/0284</t>
        </is>
      </c>
      <c r="B401" s="16" t="inlineStr">
        <is>
          <t>48W CMC Mat sealed fem hsg left</t>
        </is>
      </c>
      <c r="C401" s="16" t="inlineStr">
        <is>
          <t>EACH</t>
        </is>
      </c>
      <c r="D401" s="16" t="inlineStr">
        <is>
          <t>S-7</t>
        </is>
      </c>
      <c r="E401" s="22">
        <f>SUMIFS(Movements!$D$2:$D$20000,Movements!$B$2:$B$20000,$A401,Movements!$C$2:$C$20000,"RECEIPT")+SUMIFS(Movements!$D$2:$D$20000,Movements!$B$2:$B$20000,$A401,Movements!$C$2:$C$20000,"RETURN")+SUMIFS(Movements!$D$2:$D$20000,Movements!$B$2:$B$20000,$A401,Movements!$C$2:$C$20000,"ADJUST+")-SUMIFS(Movements!$D$2:$D$20000,Movements!$B$2:$B$20000,$A401,Movements!$C$2:$C$20000,"ISSUE")-SUMIFS(Movements!$D$2:$D$20000,Movements!$B$2:$B$20000,$A401,Movements!$C$2:$C$20000,"SCRAP")-SUMIFS(Movements!$D$2:$D$20000,Movements!$B$2:$B$20000,$A401,Movements!$C$2:$C$20000,"ADJUST-")</f>
        <v/>
      </c>
      <c r="F401" s="16" t="n">
        <v>10</v>
      </c>
      <c r="G401" s="23">
        <f>IF($E401&lt;=0,"OUT OF STOCK",IF(AND($F401&gt;0,$E401&lt;=$F401*0.2),"LOW STOCK","IN STOCK"))</f>
        <v/>
      </c>
    </row>
    <row r="402" ht="15" customHeight="1" s="13">
      <c r="A402" s="16" t="inlineStr">
        <is>
          <t>MC000SDDFAQGT001</t>
        </is>
      </c>
      <c r="B402" s="16" t="inlineStr">
        <is>
          <t>DOWEL INN EH-4 DIA XX COPPER TUBE ID 1.6</t>
        </is>
      </c>
      <c r="C402" s="16" t="inlineStr">
        <is>
          <t>NO</t>
        </is>
      </c>
      <c r="D402" s="16" t="inlineStr">
        <is>
          <t>EMC CUPBOARD</t>
        </is>
      </c>
      <c r="E402" s="22">
        <f>SUMIFS(Movements!$D$2:$D$20000,Movements!$B$2:$B$20000,$A402,Movements!$C$2:$C$20000,"RECEIPT")+SUMIFS(Movements!$D$2:$D$20000,Movements!$B$2:$B$20000,$A402,Movements!$C$2:$C$20000,"RETURN")+SUMIFS(Movements!$D$2:$D$20000,Movements!$B$2:$B$20000,$A402,Movements!$C$2:$C$20000,"ADJUST+")-SUMIFS(Movements!$D$2:$D$20000,Movements!$B$2:$B$20000,$A402,Movements!$C$2:$C$20000,"ISSUE")-SUMIFS(Movements!$D$2:$D$20000,Movements!$B$2:$B$20000,$A402,Movements!$C$2:$C$20000,"SCRAP")-SUMIFS(Movements!$D$2:$D$20000,Movements!$B$2:$B$20000,$A402,Movements!$C$2:$C$20000,"ADJUST-")</f>
        <v/>
      </c>
      <c r="F402" s="16" t="n">
        <v>1500</v>
      </c>
      <c r="G402" s="23">
        <f>IF($E402&lt;=0,"OUT OF STOCK",IF(AND($F402&gt;0,$E402&lt;=$F402*0.2),"LOW STOCK","IN STOCK"))</f>
        <v/>
      </c>
    </row>
    <row r="403" ht="15" customHeight="1" s="13">
      <c r="A403" s="16" t="inlineStr">
        <is>
          <t>MC000SDFDTGGT001</t>
        </is>
      </c>
      <c r="B403" s="16" t="inlineStr">
        <is>
          <t>DOWEL INN EH-4 DIA XX COPPER TUBE ID 2.4</t>
        </is>
      </c>
      <c r="C403" s="16" t="inlineStr">
        <is>
          <t>NO</t>
        </is>
      </c>
      <c r="D403" s="16" t="inlineStr">
        <is>
          <t>EMC CUPBOARD</t>
        </is>
      </c>
      <c r="E403" s="22">
        <f>SUMIFS(Movements!$D$2:$D$20000,Movements!$B$2:$B$20000,$A403,Movements!$C$2:$C$20000,"RECEIPT")+SUMIFS(Movements!$D$2:$D$20000,Movements!$B$2:$B$20000,$A403,Movements!$C$2:$C$20000,"RETURN")+SUMIFS(Movements!$D$2:$D$20000,Movements!$B$2:$B$20000,$A403,Movements!$C$2:$C$20000,"ADJUST+")-SUMIFS(Movements!$D$2:$D$20000,Movements!$B$2:$B$20000,$A403,Movements!$C$2:$C$20000,"ISSUE")-SUMIFS(Movements!$D$2:$D$20000,Movements!$B$2:$B$20000,$A403,Movements!$C$2:$C$20000,"SCRAP")-SUMIFS(Movements!$D$2:$D$20000,Movements!$B$2:$B$20000,$A403,Movements!$C$2:$C$20000,"ADJUST-")</f>
        <v/>
      </c>
      <c r="F403" s="16" t="n">
        <v>1500</v>
      </c>
      <c r="G403" s="23">
        <f>IF($E403&lt;=0,"OUT OF STOCK",IF(AND($F403&gt;0,$E403&lt;=$F403*0.2),"LOW STOCK","IN STOCK"))</f>
        <v/>
      </c>
    </row>
    <row r="404" ht="15" customHeight="1" s="13">
      <c r="A404" s="16" t="inlineStr">
        <is>
          <t>MC000SDGHFRGT001</t>
        </is>
      </c>
      <c r="B404" s="16" t="inlineStr">
        <is>
          <t>DOWEL INN EH-4 DIA XX INNER DIA 3.5MM</t>
        </is>
      </c>
      <c r="C404" s="16" t="inlineStr">
        <is>
          <t>NO</t>
        </is>
      </c>
      <c r="D404" s="16" t="inlineStr">
        <is>
          <t>EMC CUPBOARD</t>
        </is>
      </c>
      <c r="E404" s="22">
        <f>SUMIFS(Movements!$D$2:$D$20000,Movements!$B$2:$B$20000,$A404,Movements!$C$2:$C$20000,"RECEIPT")+SUMIFS(Movements!$D$2:$D$20000,Movements!$B$2:$B$20000,$A404,Movements!$C$2:$C$20000,"RETURN")+SUMIFS(Movements!$D$2:$D$20000,Movements!$B$2:$B$20000,$A404,Movements!$C$2:$C$20000,"ADJUST+")-SUMIFS(Movements!$D$2:$D$20000,Movements!$B$2:$B$20000,$A404,Movements!$C$2:$C$20000,"ISSUE")-SUMIFS(Movements!$D$2:$D$20000,Movements!$B$2:$B$20000,$A404,Movements!$C$2:$C$20000,"SCRAP")-SUMIFS(Movements!$D$2:$D$20000,Movements!$B$2:$B$20000,$A404,Movements!$C$2:$C$20000,"ADJUST-")</f>
        <v/>
      </c>
      <c r="F404" s="16" t="n">
        <v>1000</v>
      </c>
      <c r="G404" s="23">
        <f>IF($E404&lt;=0,"OUT OF STOCK",IF(AND($F404&gt;0,$E404&lt;=$F404*0.2),"LOW STOCK","IN STOCK"))</f>
        <v/>
      </c>
    </row>
    <row r="405" ht="15" customHeight="1" s="13">
      <c r="A405" s="16" t="inlineStr">
        <is>
          <t>MC000SDJHEDGT002</t>
        </is>
      </c>
      <c r="B405" s="16" t="inlineStr">
        <is>
          <t>DOWEL INN CB-2 DIA XX INNER DIA 8.2MM</t>
        </is>
      </c>
      <c r="C405" s="16" t="inlineStr">
        <is>
          <t>NO</t>
        </is>
      </c>
      <c r="D405" s="16" t="inlineStr">
        <is>
          <t>EMC CUPBOARD</t>
        </is>
      </c>
      <c r="E405" s="22">
        <f>SUMIFS(Movements!$D$2:$D$20000,Movements!$B$2:$B$20000,$A405,Movements!$C$2:$C$20000,"RECEIPT")+SUMIFS(Movements!$D$2:$D$20000,Movements!$B$2:$B$20000,$A405,Movements!$C$2:$C$20000,"RETURN")+SUMIFS(Movements!$D$2:$D$20000,Movements!$B$2:$B$20000,$A405,Movements!$C$2:$C$20000,"ADJUST+")-SUMIFS(Movements!$D$2:$D$20000,Movements!$B$2:$B$20000,$A405,Movements!$C$2:$C$20000,"ISSUE")-SUMIFS(Movements!$D$2:$D$20000,Movements!$B$2:$B$20000,$A405,Movements!$C$2:$C$20000,"SCRAP")-SUMIFS(Movements!$D$2:$D$20000,Movements!$B$2:$B$20000,$A405,Movements!$C$2:$C$20000,"ADJUST-")</f>
        <v/>
      </c>
      <c r="F405" s="16" t="n">
        <v>45</v>
      </c>
      <c r="G405" s="23">
        <f>IF($E405&lt;=0,"OUT OF STOCK",IF(AND($F405&gt;0,$E405&lt;=$F405*0.2),"LOW STOCK","IN STOCK"))</f>
        <v/>
      </c>
    </row>
    <row r="406" ht="15" customHeight="1" s="13">
      <c r="A406" s="16" t="inlineStr">
        <is>
          <t>MC000SDOLAQGT002</t>
        </is>
      </c>
      <c r="B406" s="16" t="inlineStr">
        <is>
          <t>DOWEL INN CB-5 DIA XX INNER DIA 16.5MM</t>
        </is>
      </c>
      <c r="C406" s="16" t="inlineStr">
        <is>
          <t>NO</t>
        </is>
      </c>
      <c r="D406" s="16" t="inlineStr">
        <is>
          <t>EMC CUPBOARD</t>
        </is>
      </c>
      <c r="E406" s="22">
        <f>SUMIFS(Movements!$D$2:$D$20000,Movements!$B$2:$B$20000,$A406,Movements!$C$2:$C$20000,"RECEIPT")+SUMIFS(Movements!$D$2:$D$20000,Movements!$B$2:$B$20000,$A406,Movements!$C$2:$C$20000,"RETURN")+SUMIFS(Movements!$D$2:$D$20000,Movements!$B$2:$B$20000,$A406,Movements!$C$2:$C$20000,"ADJUST+")-SUMIFS(Movements!$D$2:$D$20000,Movements!$B$2:$B$20000,$A406,Movements!$C$2:$C$20000,"ISSUE")-SUMIFS(Movements!$D$2:$D$20000,Movements!$B$2:$B$20000,$A406,Movements!$C$2:$C$20000,"SCRAP")-SUMIFS(Movements!$D$2:$D$20000,Movements!$B$2:$B$20000,$A406,Movements!$C$2:$C$20000,"ADJUST-")</f>
        <v/>
      </c>
      <c r="F406" s="16" t="n">
        <v>200</v>
      </c>
      <c r="G406" s="23">
        <f>IF($E406&lt;=0,"OUT OF STOCK",IF(AND($F406&gt;0,$E406&lt;=$F406*0.2),"LOW STOCK","IN STOCK"))</f>
        <v/>
      </c>
    </row>
    <row r="407" ht="15" customHeight="1" s="13">
      <c r="A407" s="16" t="inlineStr">
        <is>
          <t>7201/0881</t>
        </is>
      </c>
      <c r="B407" s="16" t="inlineStr">
        <is>
          <t>1.00-2.50mm² DT FEM SKT Nickel</t>
        </is>
      </c>
      <c r="C407" s="16" t="inlineStr">
        <is>
          <t>NO</t>
        </is>
      </c>
      <c r="D407" s="16" t="inlineStr">
        <is>
          <t>L-8</t>
        </is>
      </c>
      <c r="E407" s="22">
        <f>SUMIFS(Movements!$D$2:$D$20000,Movements!$B$2:$B$20000,$A407,Movements!$C$2:$C$20000,"RECEIPT")+SUMIFS(Movements!$D$2:$D$20000,Movements!$B$2:$B$20000,$A407,Movements!$C$2:$C$20000,"RETURN")+SUMIFS(Movements!$D$2:$D$20000,Movements!$B$2:$B$20000,$A407,Movements!$C$2:$C$20000,"ADJUST+")-SUMIFS(Movements!$D$2:$D$20000,Movements!$B$2:$B$20000,$A407,Movements!$C$2:$C$20000,"ISSUE")-SUMIFS(Movements!$D$2:$D$20000,Movements!$B$2:$B$20000,$A407,Movements!$C$2:$C$20000,"SCRAP")-SUMIFS(Movements!$D$2:$D$20000,Movements!$B$2:$B$20000,$A407,Movements!$C$2:$C$20000,"ADJUST-")</f>
        <v/>
      </c>
      <c r="F407" s="16" t="n">
        <v>70</v>
      </c>
      <c r="G407" s="23">
        <f>IF($E407&lt;=0,"OUT OF STOCK",IF(AND($F407&gt;0,$E407&lt;=$F407*0.2),"LOW STOCK","IN STOCK"))</f>
        <v/>
      </c>
    </row>
    <row r="408" ht="15" customHeight="1" s="13">
      <c r="A408" s="16" t="inlineStr">
        <is>
          <t>7219/0181</t>
        </is>
      </c>
      <c r="B408" s="16" t="inlineStr">
        <is>
          <t>20 WAY MX150 SEALED MALE HSG</t>
        </is>
      </c>
      <c r="C408" s="16" t="inlineStr">
        <is>
          <t>NO</t>
        </is>
      </c>
      <c r="D408" s="16" t="inlineStr">
        <is>
          <t>L-8</t>
        </is>
      </c>
      <c r="E408" s="22">
        <f>SUMIFS(Movements!$D$2:$D$20000,Movements!$B$2:$B$20000,$A408,Movements!$C$2:$C$20000,"RECEIPT")+SUMIFS(Movements!$D$2:$D$20000,Movements!$B$2:$B$20000,$A408,Movements!$C$2:$C$20000,"RETURN")+SUMIFS(Movements!$D$2:$D$20000,Movements!$B$2:$B$20000,$A408,Movements!$C$2:$C$20000,"ADJUST+")-SUMIFS(Movements!$D$2:$D$20000,Movements!$B$2:$B$20000,$A408,Movements!$C$2:$C$20000,"ISSUE")-SUMIFS(Movements!$D$2:$D$20000,Movements!$B$2:$B$20000,$A408,Movements!$C$2:$C$20000,"SCRAP")-SUMIFS(Movements!$D$2:$D$20000,Movements!$B$2:$B$20000,$A408,Movements!$C$2:$C$20000,"ADJUST-")</f>
        <v/>
      </c>
      <c r="F408" s="16" t="n">
        <v>5</v>
      </c>
      <c r="G408" s="23">
        <f>IF($E408&lt;=0,"OUT OF STOCK",IF(AND($F408&gt;0,$E408&lt;=$F408*0.2),"LOW STOCK","IN STOCK"))</f>
        <v/>
      </c>
    </row>
    <row r="409" ht="15" customHeight="1" s="13">
      <c r="A409" s="16" t="inlineStr">
        <is>
          <t>7219/0441</t>
        </is>
      </c>
      <c r="B409" s="16" t="inlineStr">
        <is>
          <t>48W HYBRID NTSEAL PIN HSG KEY A BLACK</t>
        </is>
      </c>
      <c r="C409" s="16" t="inlineStr">
        <is>
          <t>NO</t>
        </is>
      </c>
      <c r="D409" s="16" t="inlineStr">
        <is>
          <t>L-10</t>
        </is>
      </c>
      <c r="E409" s="22">
        <f>SUMIFS(Movements!$D$2:$D$20000,Movements!$B$2:$B$20000,$A409,Movements!$C$2:$C$20000,"RECEIPT")+SUMIFS(Movements!$D$2:$D$20000,Movements!$B$2:$B$20000,$A409,Movements!$C$2:$C$20000,"RETURN")+SUMIFS(Movements!$D$2:$D$20000,Movements!$B$2:$B$20000,$A409,Movements!$C$2:$C$20000,"ADJUST+")-SUMIFS(Movements!$D$2:$D$20000,Movements!$B$2:$B$20000,$A409,Movements!$C$2:$C$20000,"ISSUE")-SUMIFS(Movements!$D$2:$D$20000,Movements!$B$2:$B$20000,$A409,Movements!$C$2:$C$20000,"SCRAP")-SUMIFS(Movements!$D$2:$D$20000,Movements!$B$2:$B$20000,$A409,Movements!$C$2:$C$20000,"ADJUST-")</f>
        <v/>
      </c>
      <c r="F409" s="16" t="n">
        <v>10</v>
      </c>
      <c r="G409" s="23">
        <f>IF($E409&lt;=0,"OUT OF STOCK",IF(AND($F409&gt;0,$E409&lt;=$F409*0.2),"LOW STOCK","IN STOCK"))</f>
        <v/>
      </c>
    </row>
    <row r="410" ht="15" customHeight="1" s="13">
      <c r="A410" s="16" t="inlineStr">
        <is>
          <t>7210/0302</t>
        </is>
      </c>
      <c r="B410" s="16" t="inlineStr">
        <is>
          <t>Cavity Plug 7.2mm Black</t>
        </is>
      </c>
      <c r="C410" s="16" t="inlineStr">
        <is>
          <t>NO</t>
        </is>
      </c>
      <c r="D410" s="16" t="inlineStr">
        <is>
          <t>SEAL BOX</t>
        </is>
      </c>
      <c r="E410" s="22">
        <f>SUMIFS(Movements!$D$2:$D$20000,Movements!$B$2:$B$20000,$A410,Movements!$C$2:$C$20000,"RECEIPT")+SUMIFS(Movements!$D$2:$D$20000,Movements!$B$2:$B$20000,$A410,Movements!$C$2:$C$20000,"RETURN")+SUMIFS(Movements!$D$2:$D$20000,Movements!$B$2:$B$20000,$A410,Movements!$C$2:$C$20000,"ADJUST+")-SUMIFS(Movements!$D$2:$D$20000,Movements!$B$2:$B$20000,$A410,Movements!$C$2:$C$20000,"ISSUE")-SUMIFS(Movements!$D$2:$D$20000,Movements!$B$2:$B$20000,$A410,Movements!$C$2:$C$20000,"SCRAP")-SUMIFS(Movements!$D$2:$D$20000,Movements!$B$2:$B$20000,$A410,Movements!$C$2:$C$20000,"ADJUST-")</f>
        <v/>
      </c>
      <c r="F410" s="16" t="n">
        <v>10</v>
      </c>
      <c r="G410" s="23">
        <f>IF($E410&lt;=0,"OUT OF STOCK",IF(AND($F410&gt;0,$E410&lt;=$F410*0.2),"LOW STOCK","IN STOCK"))</f>
        <v/>
      </c>
    </row>
    <row r="411" ht="15" customHeight="1" s="13">
      <c r="A411" s="16" t="inlineStr">
        <is>
          <t>7243/0714</t>
        </is>
      </c>
      <c r="B411" s="16" t="inlineStr">
        <is>
          <t>21 Way Leavyseal Cover 90 Deg NC20</t>
        </is>
      </c>
      <c r="C411" s="16" t="inlineStr">
        <is>
          <t>NO</t>
        </is>
      </c>
      <c r="D411" s="16" t="inlineStr">
        <is>
          <t>D1-1</t>
        </is>
      </c>
      <c r="E411" s="22">
        <f>SUMIFS(Movements!$D$2:$D$20000,Movements!$B$2:$B$20000,$A411,Movements!$C$2:$C$20000,"RECEIPT")+SUMIFS(Movements!$D$2:$D$20000,Movements!$B$2:$B$20000,$A411,Movements!$C$2:$C$20000,"RETURN")+SUMIFS(Movements!$D$2:$D$20000,Movements!$B$2:$B$20000,$A411,Movements!$C$2:$C$20000,"ADJUST+")-SUMIFS(Movements!$D$2:$D$20000,Movements!$B$2:$B$20000,$A411,Movements!$C$2:$C$20000,"ISSUE")-SUMIFS(Movements!$D$2:$D$20000,Movements!$B$2:$B$20000,$A411,Movements!$C$2:$C$20000,"SCRAP")-SUMIFS(Movements!$D$2:$D$20000,Movements!$B$2:$B$20000,$A411,Movements!$C$2:$C$20000,"ADJUST-")</f>
        <v/>
      </c>
      <c r="F411" s="16" t="n">
        <v>10</v>
      </c>
      <c r="G411" s="23">
        <f>IF($E411&lt;=0,"OUT OF STOCK",IF(AND($F411&gt;0,$E411&lt;=$F411*0.2),"LOW STOCK","IN STOCK"))</f>
        <v/>
      </c>
    </row>
    <row r="412" ht="15" customHeight="1" s="13">
      <c r="A412" s="16" t="inlineStr">
        <is>
          <t>7216/0054</t>
        </is>
      </c>
      <c r="B412" s="16" t="inlineStr">
        <is>
          <t>6 Way MCP1.5K SKT HSG</t>
        </is>
      </c>
      <c r="C412" s="16" t="inlineStr">
        <is>
          <t>NO</t>
        </is>
      </c>
      <c r="D412" s="16" t="inlineStr">
        <is>
          <t>L-5</t>
        </is>
      </c>
      <c r="E412" s="22">
        <f>SUMIFS(Movements!$D$2:$D$20000,Movements!$B$2:$B$20000,$A412,Movements!$C$2:$C$20000,"RECEIPT")+SUMIFS(Movements!$D$2:$D$20000,Movements!$B$2:$B$20000,$A412,Movements!$C$2:$C$20000,"RETURN")+SUMIFS(Movements!$D$2:$D$20000,Movements!$B$2:$B$20000,$A412,Movements!$C$2:$C$20000,"ADJUST+")-SUMIFS(Movements!$D$2:$D$20000,Movements!$B$2:$B$20000,$A412,Movements!$C$2:$C$20000,"ISSUE")-SUMIFS(Movements!$D$2:$D$20000,Movements!$B$2:$B$20000,$A412,Movements!$C$2:$C$20000,"SCRAP")-SUMIFS(Movements!$D$2:$D$20000,Movements!$B$2:$B$20000,$A412,Movements!$C$2:$C$20000,"ADJUST-")</f>
        <v/>
      </c>
      <c r="F412" s="16" t="n">
        <v>5</v>
      </c>
      <c r="G412" s="23">
        <f>IF($E412&lt;=0,"OUT OF STOCK",IF(AND($F412&gt;0,$E412&lt;=$F412*0.2),"LOW STOCK","IN STOCK"))</f>
        <v/>
      </c>
    </row>
    <row r="413" ht="15" customHeight="1" s="13">
      <c r="A413" s="16" t="inlineStr">
        <is>
          <t>727/0000</t>
        </is>
      </c>
      <c r="B413" s="16" t="inlineStr">
        <is>
          <t>CAN CABLE 2 CORE 0.5 CSA</t>
        </is>
      </c>
      <c r="C413" s="16" t="inlineStr">
        <is>
          <t>NO</t>
        </is>
      </c>
      <c r="D413" s="16" t="inlineStr">
        <is>
          <t>BELOW STARES</t>
        </is>
      </c>
      <c r="E413" s="22">
        <f>SUMIFS(Movements!$D$2:$D$20000,Movements!$B$2:$B$20000,$A413,Movements!$C$2:$C$20000,"RECEIPT")+SUMIFS(Movements!$D$2:$D$20000,Movements!$B$2:$B$20000,$A413,Movements!$C$2:$C$20000,"RETURN")+SUMIFS(Movements!$D$2:$D$20000,Movements!$B$2:$B$20000,$A413,Movements!$C$2:$C$20000,"ADJUST+")-SUMIFS(Movements!$D$2:$D$20000,Movements!$B$2:$B$20000,$A413,Movements!$C$2:$C$20000,"ISSUE")-SUMIFS(Movements!$D$2:$D$20000,Movements!$B$2:$B$20000,$A413,Movements!$C$2:$C$20000,"SCRAP")-SUMIFS(Movements!$D$2:$D$20000,Movements!$B$2:$B$20000,$A413,Movements!$C$2:$C$20000,"ADJUST-")</f>
        <v/>
      </c>
      <c r="F413" s="16" t="n">
        <v>200</v>
      </c>
      <c r="G413" s="23">
        <f>IF($E413&lt;=0,"OUT OF STOCK",IF(AND($F413&gt;0,$E413&lt;=$F413*0.2),"LOW STOCK","IN STOCK"))</f>
        <v/>
      </c>
    </row>
    <row r="414" ht="15" customHeight="1" s="13">
      <c r="A414" s="16" t="inlineStr">
        <is>
          <t>7219/0343</t>
        </is>
      </c>
      <c r="B414" s="16" t="inlineStr">
        <is>
          <t>94 WAY MQS MCP2.8 HSG+Cover CPA</t>
        </is>
      </c>
      <c r="C414" s="16" t="inlineStr">
        <is>
          <t>NO</t>
        </is>
      </c>
      <c r="D414" s="16" t="inlineStr">
        <is>
          <t>D1-1</t>
        </is>
      </c>
      <c r="E414" s="22">
        <f>SUMIFS(Movements!$D$2:$D$20000,Movements!$B$2:$B$20000,$A414,Movements!$C$2:$C$20000,"RECEIPT")+SUMIFS(Movements!$D$2:$D$20000,Movements!$B$2:$B$20000,$A414,Movements!$C$2:$C$20000,"RETURN")+SUMIFS(Movements!$D$2:$D$20000,Movements!$B$2:$B$20000,$A414,Movements!$C$2:$C$20000,"ADJUST+")-SUMIFS(Movements!$D$2:$D$20000,Movements!$B$2:$B$20000,$A414,Movements!$C$2:$C$20000,"ISSUE")-SUMIFS(Movements!$D$2:$D$20000,Movements!$B$2:$B$20000,$A414,Movements!$C$2:$C$20000,"SCRAP")-SUMIFS(Movements!$D$2:$D$20000,Movements!$B$2:$B$20000,$A414,Movements!$C$2:$C$20000,"ADJUST-")</f>
        <v/>
      </c>
      <c r="F414" s="16" t="n">
        <v>2</v>
      </c>
      <c r="G414" s="23">
        <f>IF($E414&lt;=0,"OUT OF STOCK",IF(AND($F414&gt;0,$E414&lt;=$F414*0.2),"LOW STOCK","IN STOCK"))</f>
        <v/>
      </c>
    </row>
    <row r="415" ht="15" customHeight="1" s="13">
      <c r="A415" s="16" t="inlineStr">
        <is>
          <t>7216/0022</t>
        </is>
      </c>
      <c r="B415" s="16" t="inlineStr">
        <is>
          <t>6 Way DTM06 Wedge</t>
        </is>
      </c>
      <c r="C415" s="16" t="inlineStr">
        <is>
          <t>NO</t>
        </is>
      </c>
      <c r="D415" s="16" t="inlineStr">
        <is>
          <t>D1-1</t>
        </is>
      </c>
      <c r="E415" s="22">
        <f>SUMIFS(Movements!$D$2:$D$20000,Movements!$B$2:$B$20000,$A415,Movements!$C$2:$C$20000,"RECEIPT")+SUMIFS(Movements!$D$2:$D$20000,Movements!$B$2:$B$20000,$A415,Movements!$C$2:$C$20000,"RETURN")+SUMIFS(Movements!$D$2:$D$20000,Movements!$B$2:$B$20000,$A415,Movements!$C$2:$C$20000,"ADJUST+")-SUMIFS(Movements!$D$2:$D$20000,Movements!$B$2:$B$20000,$A415,Movements!$C$2:$C$20000,"ISSUE")-SUMIFS(Movements!$D$2:$D$20000,Movements!$B$2:$B$20000,$A415,Movements!$C$2:$C$20000,"SCRAP")-SUMIFS(Movements!$D$2:$D$20000,Movements!$B$2:$B$20000,$A415,Movements!$C$2:$C$20000,"ADJUST-")</f>
        <v/>
      </c>
      <c r="F415" s="16" t="n">
        <v>15</v>
      </c>
      <c r="G415" s="23">
        <f>IF($E415&lt;=0,"OUT OF STOCK",IF(AND($F415&gt;0,$E415&lt;=$F415*0.2),"LOW STOCK","IN STOCK"))</f>
        <v/>
      </c>
    </row>
    <row r="416" ht="15" customHeight="1" s="13">
      <c r="A416" s="16" t="inlineStr">
        <is>
          <t>7201/0187</t>
        </is>
      </c>
      <c r="B416" s="16" t="inlineStr">
        <is>
          <t>0.5-0.75 MQS JPT Fem Terminal</t>
        </is>
      </c>
      <c r="C416" s="16" t="inlineStr">
        <is>
          <t>NO</t>
        </is>
      </c>
      <c r="D416" s="16" t="inlineStr">
        <is>
          <t>D1-1</t>
        </is>
      </c>
      <c r="E416" s="22">
        <f>SUMIFS(Movements!$D$2:$D$20000,Movements!$B$2:$B$20000,$A416,Movements!$C$2:$C$20000,"RECEIPT")+SUMIFS(Movements!$D$2:$D$20000,Movements!$B$2:$B$20000,$A416,Movements!$C$2:$C$20000,"RETURN")+SUMIFS(Movements!$D$2:$D$20000,Movements!$B$2:$B$20000,$A416,Movements!$C$2:$C$20000,"ADJUST+")-SUMIFS(Movements!$D$2:$D$20000,Movements!$B$2:$B$20000,$A416,Movements!$C$2:$C$20000,"ISSUE")-SUMIFS(Movements!$D$2:$D$20000,Movements!$B$2:$B$20000,$A416,Movements!$C$2:$C$20000,"SCRAP")-SUMIFS(Movements!$D$2:$D$20000,Movements!$B$2:$B$20000,$A416,Movements!$C$2:$C$20000,"ADJUST-")</f>
        <v/>
      </c>
      <c r="F416" s="16" t="n">
        <v>100</v>
      </c>
      <c r="G416" s="23">
        <f>IF($E416&lt;=0,"OUT OF STOCK",IF(AND($F416&gt;0,$E416&lt;=$F416*0.2),"LOW STOCK","IN STOCK"))</f>
        <v/>
      </c>
    </row>
    <row r="417" ht="15" customHeight="1" s="13">
      <c r="A417" s="16" t="inlineStr">
        <is>
          <t>7201/0791</t>
        </is>
      </c>
      <c r="B417" s="16" t="inlineStr">
        <is>
          <t>0.5-1.0mm2 MQS 2.8 fem term tin</t>
        </is>
      </c>
      <c r="C417" s="16" t="inlineStr">
        <is>
          <t>NO</t>
        </is>
      </c>
      <c r="D417" s="16" t="inlineStr">
        <is>
          <t>D1-1</t>
        </is>
      </c>
      <c r="E417" s="22">
        <f>SUMIFS(Movements!$D$2:$D$20000,Movements!$B$2:$B$20000,$A417,Movements!$C$2:$C$20000,"RECEIPT")+SUMIFS(Movements!$D$2:$D$20000,Movements!$B$2:$B$20000,$A417,Movements!$C$2:$C$20000,"RETURN")+SUMIFS(Movements!$D$2:$D$20000,Movements!$B$2:$B$20000,$A417,Movements!$C$2:$C$20000,"ADJUST+")-SUMIFS(Movements!$D$2:$D$20000,Movements!$B$2:$B$20000,$A417,Movements!$C$2:$C$20000,"ISSUE")-SUMIFS(Movements!$D$2:$D$20000,Movements!$B$2:$B$20000,$A417,Movements!$C$2:$C$20000,"SCRAP")-SUMIFS(Movements!$D$2:$D$20000,Movements!$B$2:$B$20000,$A417,Movements!$C$2:$C$20000,"ADJUST-")</f>
        <v/>
      </c>
      <c r="F417" s="16" t="n">
        <v>100</v>
      </c>
      <c r="G417" s="23">
        <f>IF($E417&lt;=0,"OUT OF STOCK",IF(AND($F417&gt;0,$E417&lt;=$F417*0.2),"LOW STOCK","IN STOCK"))</f>
        <v/>
      </c>
    </row>
    <row r="418" ht="15" customHeight="1" s="13">
      <c r="A418" s="16" t="inlineStr">
        <is>
          <t>7210/0082</t>
        </is>
      </c>
      <c r="B418" s="16" t="inlineStr">
        <is>
          <t>Cavity Plug Micro Timer White</t>
        </is>
      </c>
      <c r="C418" s="16" t="inlineStr">
        <is>
          <t>NO</t>
        </is>
      </c>
      <c r="D418" s="16" t="inlineStr">
        <is>
          <t>SEAL BOX</t>
        </is>
      </c>
      <c r="E418" s="22">
        <f>SUMIFS(Movements!$D$2:$D$20000,Movements!$B$2:$B$20000,$A418,Movements!$C$2:$C$20000,"RECEIPT")+SUMIFS(Movements!$D$2:$D$20000,Movements!$B$2:$B$20000,$A418,Movements!$C$2:$C$20000,"RETURN")+SUMIFS(Movements!$D$2:$D$20000,Movements!$B$2:$B$20000,$A418,Movements!$C$2:$C$20000,"ADJUST+")-SUMIFS(Movements!$D$2:$D$20000,Movements!$B$2:$B$20000,$A418,Movements!$C$2:$C$20000,"ISSUE")-SUMIFS(Movements!$D$2:$D$20000,Movements!$B$2:$B$20000,$A418,Movements!$C$2:$C$20000,"SCRAP")-SUMIFS(Movements!$D$2:$D$20000,Movements!$B$2:$B$20000,$A418,Movements!$C$2:$C$20000,"ADJUST-")</f>
        <v/>
      </c>
      <c r="F418" s="16" t="n">
        <v>15</v>
      </c>
      <c r="G418" s="23">
        <f>IF($E418&lt;=0,"OUT OF STOCK",IF(AND($F418&gt;0,$E418&lt;=$F418*0.2),"LOW STOCK","IN STOCK"))</f>
        <v/>
      </c>
    </row>
    <row r="419" ht="15" customHeight="1" s="13">
      <c r="A419" s="16" t="inlineStr">
        <is>
          <t>7210/0032</t>
        </is>
      </c>
      <c r="B419" s="16" t="inlineStr">
        <is>
          <t>Wire Seal 1.6-2.4mm Green Econo</t>
        </is>
      </c>
      <c r="C419" s="16" t="inlineStr">
        <is>
          <t>NO</t>
        </is>
      </c>
      <c r="D419" s="16" t="inlineStr">
        <is>
          <t>SEAL BOX</t>
        </is>
      </c>
      <c r="E419" s="22">
        <f>SUMIFS(Movements!$D$2:$D$20000,Movements!$B$2:$B$20000,$A419,Movements!$C$2:$C$20000,"RECEIPT")+SUMIFS(Movements!$D$2:$D$20000,Movements!$B$2:$B$20000,$A419,Movements!$C$2:$C$20000,"RETURN")+SUMIFS(Movements!$D$2:$D$20000,Movements!$B$2:$B$20000,$A419,Movements!$C$2:$C$20000,"ADJUST+")-SUMIFS(Movements!$D$2:$D$20000,Movements!$B$2:$B$20000,$A419,Movements!$C$2:$C$20000,"ISSUE")-SUMIFS(Movements!$D$2:$D$20000,Movements!$B$2:$B$20000,$A419,Movements!$C$2:$C$20000,"SCRAP")-SUMIFS(Movements!$D$2:$D$20000,Movements!$B$2:$B$20000,$A419,Movements!$C$2:$C$20000,"ADJUST-")</f>
        <v/>
      </c>
      <c r="F419" s="16" t="n">
        <v>10</v>
      </c>
      <c r="G419" s="23">
        <f>IF($E419&lt;=0,"OUT OF STOCK",IF(AND($F419&gt;0,$E419&lt;=$F419*0.2),"LOW STOCK","IN STOCK"))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2" min="1" max="1"/>
    <col width="30" customWidth="1" style="12" min="2" max="2"/>
    <col width="16" customWidth="1" style="12" min="3" max="3"/>
    <col width="18" customWidth="1" style="12" min="4" max="4"/>
    <col width="18" customWidth="1" style="13" min="5" max="5"/>
    <col width="18" customWidth="1" style="13" min="6" max="6"/>
    <col width="32" customWidth="1" style="13" min="7" max="7"/>
  </cols>
  <sheetData>
    <row r="1" ht="21.75" customHeight="1" s="13">
      <c r="A1" s="19" t="inlineStr">
        <is>
          <t>Username</t>
        </is>
      </c>
      <c r="B1" s="19" t="inlineStr">
        <is>
          <t>FullName</t>
        </is>
      </c>
      <c r="C1" s="19" t="inlineStr">
        <is>
          <t>Role</t>
        </is>
      </c>
      <c r="D1" s="19" t="inlineStr">
        <is>
          <t>BusinessUnit</t>
        </is>
      </c>
      <c r="E1" s="25" t="inlineStr">
        <is>
          <t>Password</t>
        </is>
      </c>
      <c r="F1" s="25" t="inlineStr">
        <is>
          <t>PasswordSetOn</t>
        </is>
      </c>
      <c r="G1" s="12" t="inlineStr">
        <is>
          <t>Email</t>
        </is>
      </c>
    </row>
    <row r="2" ht="15" customHeight="1" s="13">
      <c r="A2" s="16" t="inlineStr">
        <is>
          <t>gaurav.shelke</t>
        </is>
      </c>
      <c r="B2" s="16" t="inlineStr">
        <is>
          <t>Gaurav Shelke</t>
        </is>
      </c>
      <c r="C2" s="16" t="inlineStr">
        <is>
          <t>Lab Lead</t>
        </is>
      </c>
      <c r="D2" s="16" t="inlineStr">
        <is>
          <t>EDS</t>
        </is>
      </c>
    </row>
    <row r="3" ht="15" customHeight="1" s="13">
      <c r="A3" s="16" t="inlineStr">
        <is>
          <t>abhijit.dubey</t>
        </is>
      </c>
      <c r="B3" s="16" t="inlineStr">
        <is>
          <t>Abhijit Dubey</t>
        </is>
      </c>
      <c r="C3" s="16" t="inlineStr">
        <is>
          <t>Lab Admin</t>
        </is>
      </c>
      <c r="D3" s="16" t="inlineStr">
        <is>
          <t>BHL INDIA</t>
        </is>
      </c>
    </row>
    <row r="4" ht="15" customHeight="1" s="13">
      <c r="A4" s="16" t="inlineStr">
        <is>
          <t>akshay.aadarsh</t>
        </is>
      </c>
      <c r="B4" s="16" t="inlineStr">
        <is>
          <t>Akshay Aadarsh</t>
        </is>
      </c>
      <c r="C4" s="16" t="inlineStr">
        <is>
          <t>Engineer</t>
        </is>
      </c>
      <c r="D4" s="16" t="inlineStr">
        <is>
          <t>BHL INDIA</t>
        </is>
      </c>
    </row>
    <row r="5" ht="15" customHeight="1" s="13">
      <c r="A5" s="16" t="inlineStr">
        <is>
          <t>akshay.gorakhnath.shejul</t>
        </is>
      </c>
      <c r="B5" s="16" t="inlineStr">
        <is>
          <t>Akshay Gorakhnath Shejul</t>
        </is>
      </c>
      <c r="C5" s="16" t="inlineStr">
        <is>
          <t>Engineer</t>
        </is>
      </c>
      <c r="D5" s="16" t="inlineStr">
        <is>
          <t>BHL INDIA</t>
        </is>
      </c>
    </row>
    <row r="6" ht="15" customHeight="1" s="13">
      <c r="A6" s="16" t="inlineStr">
        <is>
          <t>akshay.kakde</t>
        </is>
      </c>
      <c r="B6" s="16" t="inlineStr">
        <is>
          <t>Akshay Kakde</t>
        </is>
      </c>
      <c r="C6" s="16" t="inlineStr">
        <is>
          <t>Engineer</t>
        </is>
      </c>
      <c r="D6" s="16" t="inlineStr">
        <is>
          <t>BHL INDIA</t>
        </is>
      </c>
    </row>
    <row r="7" ht="15" customHeight="1" s="13">
      <c r="A7" s="16" t="inlineStr">
        <is>
          <t>akshay.pawar</t>
        </is>
      </c>
      <c r="B7" s="16" t="inlineStr">
        <is>
          <t>Akshay Pawar</t>
        </is>
      </c>
      <c r="C7" s="16" t="inlineStr">
        <is>
          <t>Lab Admin</t>
        </is>
      </c>
      <c r="D7" s="16" t="inlineStr">
        <is>
          <t>BHL INDIA</t>
        </is>
      </c>
    </row>
    <row r="8" ht="15" customHeight="1" s="13">
      <c r="A8" s="16" t="inlineStr">
        <is>
          <t>akshay.powar</t>
        </is>
      </c>
      <c r="B8" s="16" t="inlineStr">
        <is>
          <t>Akshay Powar</t>
        </is>
      </c>
      <c r="C8" s="16" t="inlineStr">
        <is>
          <t>Engineer</t>
        </is>
      </c>
      <c r="D8" s="16" t="inlineStr">
        <is>
          <t>BHL INDIA</t>
        </is>
      </c>
    </row>
    <row r="9" ht="15" customHeight="1" s="13">
      <c r="A9" s="16" t="inlineStr">
        <is>
          <t>akshay.rodge</t>
        </is>
      </c>
      <c r="B9" s="16" t="inlineStr">
        <is>
          <t>Akshay Rodge</t>
        </is>
      </c>
      <c r="C9" s="16" t="inlineStr">
        <is>
          <t>Engineer</t>
        </is>
      </c>
      <c r="D9" s="16" t="inlineStr">
        <is>
          <t>BHL INDIA</t>
        </is>
      </c>
    </row>
    <row r="10" ht="15" customHeight="1" s="13">
      <c r="A10" s="16" t="inlineStr">
        <is>
          <t>akshay.titre</t>
        </is>
      </c>
      <c r="B10" s="16" t="inlineStr">
        <is>
          <t>Akshay Titre</t>
        </is>
      </c>
      <c r="C10" s="16" t="inlineStr">
        <is>
          <t>Engineer</t>
        </is>
      </c>
      <c r="D10" s="16" t="inlineStr">
        <is>
          <t>BHL INDIA</t>
        </is>
      </c>
    </row>
    <row r="11" ht="15" customHeight="1" s="13">
      <c r="A11" s="16" t="inlineStr">
        <is>
          <t>alpesh.kumbhar</t>
        </is>
      </c>
      <c r="B11" s="16" t="inlineStr">
        <is>
          <t>Alpesh Kumbhar</t>
        </is>
      </c>
      <c r="C11" s="16" t="inlineStr">
        <is>
          <t>Engineer</t>
        </is>
      </c>
      <c r="D11" s="16" t="inlineStr">
        <is>
          <t>BHL INDIA</t>
        </is>
      </c>
    </row>
    <row r="12" ht="15" customHeight="1" s="13">
      <c r="A12" s="16" t="inlineStr">
        <is>
          <t>amol.savatkar</t>
        </is>
      </c>
      <c r="B12" s="16" t="inlineStr">
        <is>
          <t>Amol Savatkar</t>
        </is>
      </c>
      <c r="C12" s="16" t="inlineStr">
        <is>
          <t>Engineer</t>
        </is>
      </c>
      <c r="D12" s="16" t="inlineStr">
        <is>
          <t>BHL INDIA</t>
        </is>
      </c>
    </row>
    <row r="13" ht="15" customHeight="1" s="13">
      <c r="A13" s="16" t="inlineStr">
        <is>
          <t>anan.jadhav</t>
        </is>
      </c>
      <c r="B13" s="16" t="inlineStr">
        <is>
          <t>Anan Jadhav</t>
        </is>
      </c>
      <c r="C13" s="16" t="inlineStr">
        <is>
          <t>Engineer</t>
        </is>
      </c>
      <c r="D13" s="16" t="inlineStr">
        <is>
          <t>BHL INDIA</t>
        </is>
      </c>
    </row>
    <row r="14" ht="15" customHeight="1" s="13">
      <c r="A14" s="16" t="inlineStr">
        <is>
          <t>anand.kumar.bairagi</t>
        </is>
      </c>
      <c r="B14" s="16" t="inlineStr">
        <is>
          <t>Anand Kumar Bairagi</t>
        </is>
      </c>
      <c r="C14" s="16" t="inlineStr">
        <is>
          <t>Engineer</t>
        </is>
      </c>
      <c r="D14" s="16" t="inlineStr">
        <is>
          <t>BHL INDIA</t>
        </is>
      </c>
    </row>
    <row r="15" ht="15" customHeight="1" s="13">
      <c r="A15" s="16" t="inlineStr">
        <is>
          <t>ankush.marwade</t>
        </is>
      </c>
      <c r="B15" s="16" t="inlineStr">
        <is>
          <t>Ankush Marwade</t>
        </is>
      </c>
      <c r="C15" s="16" t="inlineStr">
        <is>
          <t>Engineer</t>
        </is>
      </c>
      <c r="D15" s="16" t="inlineStr">
        <is>
          <t>BHL INDIA</t>
        </is>
      </c>
    </row>
    <row r="16" ht="15" customHeight="1" s="13">
      <c r="A16" s="16" t="inlineStr">
        <is>
          <t>anshul.raut</t>
        </is>
      </c>
      <c r="B16" s="16" t="inlineStr">
        <is>
          <t>Anshul Raut</t>
        </is>
      </c>
      <c r="C16" s="16" t="inlineStr">
        <is>
          <t>Engineer</t>
        </is>
      </c>
      <c r="D16" s="16" t="inlineStr">
        <is>
          <t>BHL INDIA</t>
        </is>
      </c>
    </row>
    <row r="17" ht="15" customHeight="1" s="13">
      <c r="A17" s="16" t="inlineStr">
        <is>
          <t>ashish.thakare</t>
        </is>
      </c>
      <c r="B17" s="16" t="inlineStr">
        <is>
          <t>Ashish Thakare</t>
        </is>
      </c>
      <c r="C17" s="16" t="inlineStr">
        <is>
          <t>Engineer</t>
        </is>
      </c>
      <c r="D17" s="16" t="inlineStr">
        <is>
          <t>BHL INDIA</t>
        </is>
      </c>
    </row>
    <row r="18" ht="15" customHeight="1" s="13">
      <c r="A18" s="16" t="inlineStr">
        <is>
          <t>ashwini.nitin.shende</t>
        </is>
      </c>
      <c r="B18" s="16" t="inlineStr">
        <is>
          <t>Ashwini Nitin Shende</t>
        </is>
      </c>
      <c r="C18" s="16" t="inlineStr">
        <is>
          <t>Engineer</t>
        </is>
      </c>
      <c r="D18" s="16" t="inlineStr">
        <is>
          <t>BHL INDIA</t>
        </is>
      </c>
    </row>
    <row r="19" ht="15" customHeight="1" s="13">
      <c r="A19" s="16" t="inlineStr">
        <is>
          <t>atif.baig</t>
        </is>
      </c>
      <c r="B19" s="16" t="inlineStr">
        <is>
          <t>Atif Baig</t>
        </is>
      </c>
      <c r="C19" s="16" t="inlineStr">
        <is>
          <t>Engineer</t>
        </is>
      </c>
      <c r="D19" s="16" t="inlineStr">
        <is>
          <t>BHL INDIA</t>
        </is>
      </c>
    </row>
    <row r="20" ht="15" customHeight="1" s="13">
      <c r="A20" s="16" t="inlineStr">
        <is>
          <t>balraj.kuntmal</t>
        </is>
      </c>
      <c r="B20" s="16" t="inlineStr">
        <is>
          <t>Balraj Kuntmal</t>
        </is>
      </c>
      <c r="C20" s="16" t="inlineStr">
        <is>
          <t>Engineer</t>
        </is>
      </c>
      <c r="D20" s="16" t="inlineStr">
        <is>
          <t>BHL INDIA</t>
        </is>
      </c>
    </row>
    <row r="21" ht="15" customHeight="1" s="13">
      <c r="A21" s="16" t="inlineStr">
        <is>
          <t>bhagyashri.suramwar</t>
        </is>
      </c>
      <c r="B21" s="16" t="inlineStr">
        <is>
          <t>Bhagyashri Suramwar</t>
        </is>
      </c>
      <c r="C21" s="16" t="inlineStr">
        <is>
          <t>Engineer</t>
        </is>
      </c>
      <c r="D21" s="16" t="inlineStr">
        <is>
          <t>BHL INDIA</t>
        </is>
      </c>
    </row>
    <row r="22" ht="15" customHeight="1" s="13">
      <c r="A22" s="16" t="inlineStr">
        <is>
          <t>bhavesh.dharmik</t>
        </is>
      </c>
      <c r="B22" s="16" t="inlineStr">
        <is>
          <t>Bhavesh Dharmik</t>
        </is>
      </c>
      <c r="C22" s="16" t="inlineStr">
        <is>
          <t>Engineer</t>
        </is>
      </c>
      <c r="D22" s="16" t="inlineStr">
        <is>
          <t>BHL INDIA</t>
        </is>
      </c>
    </row>
    <row r="23" ht="15" customHeight="1" s="13">
      <c r="A23" s="16" t="inlineStr">
        <is>
          <t>bhimesh.vanga</t>
        </is>
      </c>
      <c r="B23" s="16" t="inlineStr">
        <is>
          <t>Bhimesh Vanga</t>
        </is>
      </c>
      <c r="C23" s="16" t="inlineStr">
        <is>
          <t>Engineer</t>
        </is>
      </c>
      <c r="D23" s="16" t="inlineStr">
        <is>
          <t>BHL INDIA</t>
        </is>
      </c>
    </row>
    <row r="24" ht="15" customHeight="1" s="13">
      <c r="A24" s="16" t="inlineStr">
        <is>
          <t>bijaykumar.samanta</t>
        </is>
      </c>
      <c r="B24" s="16" t="inlineStr">
        <is>
          <t>Bijaykumar Samanta</t>
        </is>
      </c>
      <c r="C24" s="16" t="inlineStr">
        <is>
          <t>Engineer</t>
        </is>
      </c>
      <c r="D24" s="16" t="inlineStr">
        <is>
          <t>BHL INDIA</t>
        </is>
      </c>
    </row>
    <row r="25" ht="15" customHeight="1" s="13">
      <c r="A25" s="16" t="inlineStr">
        <is>
          <t>chetan.lokhande</t>
        </is>
      </c>
      <c r="B25" s="16" t="inlineStr">
        <is>
          <t>Chetan Lokhande</t>
        </is>
      </c>
      <c r="C25" s="16" t="inlineStr">
        <is>
          <t>Engineer</t>
        </is>
      </c>
      <c r="D25" s="16" t="inlineStr">
        <is>
          <t>BHL INDIA</t>
        </is>
      </c>
    </row>
    <row r="26" ht="15" customHeight="1" s="13">
      <c r="A26" s="16" t="inlineStr">
        <is>
          <t>chinmay.vairagade</t>
        </is>
      </c>
      <c r="B26" s="16" t="inlineStr">
        <is>
          <t>Chinmay Vairagade</t>
        </is>
      </c>
      <c r="C26" s="16" t="inlineStr">
        <is>
          <t>Engineer</t>
        </is>
      </c>
      <c r="D26" s="16" t="inlineStr">
        <is>
          <t>BHL INDIA</t>
        </is>
      </c>
    </row>
    <row r="27" ht="15" customHeight="1" s="13">
      <c r="A27" s="16" t="inlineStr">
        <is>
          <t>chittanranjan.parida</t>
        </is>
      </c>
      <c r="B27" s="16" t="inlineStr">
        <is>
          <t>Chittanranjan Parida</t>
        </is>
      </c>
      <c r="C27" s="16" t="inlineStr">
        <is>
          <t>Engineer</t>
        </is>
      </c>
      <c r="D27" s="16" t="inlineStr">
        <is>
          <t>BHL INDIA</t>
        </is>
      </c>
    </row>
    <row r="28" ht="15" customHeight="1" s="13">
      <c r="A28" s="16" t="inlineStr">
        <is>
          <t>debashis.patra</t>
        </is>
      </c>
      <c r="B28" s="16" t="inlineStr">
        <is>
          <t>Debashis Patra</t>
        </is>
      </c>
      <c r="C28" s="16" t="inlineStr">
        <is>
          <t>Engineer</t>
        </is>
      </c>
      <c r="D28" s="16" t="inlineStr">
        <is>
          <t>BHL INDIA</t>
        </is>
      </c>
    </row>
    <row r="29" ht="15" customHeight="1" s="13">
      <c r="A29" s="16" t="inlineStr">
        <is>
          <t>deepak.kumar.jha</t>
        </is>
      </c>
      <c r="B29" s="16" t="inlineStr">
        <is>
          <t>Deepak Kumar Jha</t>
        </is>
      </c>
      <c r="C29" s="16" t="inlineStr">
        <is>
          <t>Engineer</t>
        </is>
      </c>
      <c r="D29" s="16" t="inlineStr">
        <is>
          <t>BHL INDIA</t>
        </is>
      </c>
    </row>
    <row r="30" ht="15" customHeight="1" s="13">
      <c r="A30" s="16" t="inlineStr">
        <is>
          <t>dhananjay.singh</t>
        </is>
      </c>
      <c r="B30" s="16" t="inlineStr">
        <is>
          <t>Dhananjay Singh</t>
        </is>
      </c>
      <c r="C30" s="16" t="inlineStr">
        <is>
          <t>Engineer</t>
        </is>
      </c>
      <c r="D30" s="16" t="inlineStr">
        <is>
          <t>BHL INDIA</t>
        </is>
      </c>
    </row>
    <row r="31" ht="15" customHeight="1" s="13">
      <c r="A31" s="16" t="inlineStr">
        <is>
          <t>divya.pakhare</t>
        </is>
      </c>
      <c r="B31" s="16" t="inlineStr">
        <is>
          <t>Divya Pakhare</t>
        </is>
      </c>
      <c r="C31" s="16" t="inlineStr">
        <is>
          <t>Engineer</t>
        </is>
      </c>
      <c r="D31" s="16" t="inlineStr">
        <is>
          <t>BHL INDIA</t>
        </is>
      </c>
    </row>
    <row r="32" ht="15" customHeight="1" s="13">
      <c r="A32" s="16" t="inlineStr">
        <is>
          <t>govind.shinde</t>
        </is>
      </c>
      <c r="B32" s="16" t="inlineStr">
        <is>
          <t>Govind Shinde</t>
        </is>
      </c>
      <c r="C32" s="16" t="inlineStr">
        <is>
          <t>Engineer</t>
        </is>
      </c>
      <c r="D32" s="16" t="inlineStr">
        <is>
          <t>BHL INDIA</t>
        </is>
      </c>
    </row>
    <row r="33" ht="15" customHeight="1" s="13">
      <c r="A33" s="16" t="inlineStr">
        <is>
          <t>jayesh.jain</t>
        </is>
      </c>
      <c r="B33" s="16" t="inlineStr">
        <is>
          <t>Jayesh Jain</t>
        </is>
      </c>
      <c r="C33" s="16" t="inlineStr">
        <is>
          <t>Engineer</t>
        </is>
      </c>
      <c r="D33" s="16" t="inlineStr">
        <is>
          <t>BHL INDIA</t>
        </is>
      </c>
    </row>
    <row r="34" ht="15" customHeight="1" s="13">
      <c r="A34" s="16" t="inlineStr">
        <is>
          <t>kaustubh.rathod</t>
        </is>
      </c>
      <c r="B34" s="16" t="inlineStr">
        <is>
          <t>Kaustubh Rathod</t>
        </is>
      </c>
      <c r="C34" s="16" t="inlineStr">
        <is>
          <t>Engineer</t>
        </is>
      </c>
      <c r="D34" s="16" t="inlineStr">
        <is>
          <t>BHL INDIA</t>
        </is>
      </c>
    </row>
    <row r="35" ht="15" customHeight="1" s="13">
      <c r="A35" s="16" t="inlineStr">
        <is>
          <t>komal.kumar</t>
        </is>
      </c>
      <c r="B35" s="16" t="inlineStr">
        <is>
          <t>Komal Kumar</t>
        </is>
      </c>
      <c r="C35" s="16" t="inlineStr">
        <is>
          <t>Engineer</t>
        </is>
      </c>
      <c r="D35" s="16" t="inlineStr">
        <is>
          <t>BHL INDIA</t>
        </is>
      </c>
    </row>
    <row r="36" ht="15" customHeight="1" s="13">
      <c r="A36" s="16" t="inlineStr">
        <is>
          <t>laal.patel</t>
        </is>
      </c>
      <c r="B36" s="16" t="inlineStr">
        <is>
          <t>Laal Patel</t>
        </is>
      </c>
      <c r="C36" s="16" t="inlineStr">
        <is>
          <t>Engineer</t>
        </is>
      </c>
      <c r="D36" s="16" t="inlineStr">
        <is>
          <t>BHL INDIA</t>
        </is>
      </c>
    </row>
    <row r="37" ht="15" customHeight="1" s="13">
      <c r="A37" s="16" t="inlineStr">
        <is>
          <t>lalit.wadhai</t>
        </is>
      </c>
      <c r="B37" s="16" t="inlineStr">
        <is>
          <t>Lalit Wadhai</t>
        </is>
      </c>
      <c r="C37" s="16" t="inlineStr">
        <is>
          <t>Engineer</t>
        </is>
      </c>
      <c r="D37" s="16" t="inlineStr">
        <is>
          <t>BHL INDIA</t>
        </is>
      </c>
    </row>
    <row r="38" ht="15" customHeight="1" s="13">
      <c r="A38" s="16" t="inlineStr">
        <is>
          <t>mahendra.moundekar</t>
        </is>
      </c>
      <c r="B38" s="16" t="inlineStr">
        <is>
          <t>Mahendra Moundekar</t>
        </is>
      </c>
      <c r="C38" s="16" t="inlineStr">
        <is>
          <t>Engineer</t>
        </is>
      </c>
      <c r="D38" s="16" t="inlineStr">
        <is>
          <t>BHL INDIA</t>
        </is>
      </c>
    </row>
    <row r="39" ht="15" customHeight="1" s="13">
      <c r="A39" s="16" t="inlineStr">
        <is>
          <t>mahesh.mankar</t>
        </is>
      </c>
      <c r="B39" s="16" t="inlineStr">
        <is>
          <t>Mahesh Mankar</t>
        </is>
      </c>
      <c r="C39" s="16" t="inlineStr">
        <is>
          <t>Engineer</t>
        </is>
      </c>
      <c r="D39" s="16" t="inlineStr">
        <is>
          <t>BHL INDIA</t>
        </is>
      </c>
    </row>
    <row r="40" ht="15" customHeight="1" s="13">
      <c r="A40" s="16" t="inlineStr">
        <is>
          <t>manoj.jadhav</t>
        </is>
      </c>
      <c r="B40" s="16" t="inlineStr">
        <is>
          <t>Manoj Jadhav</t>
        </is>
      </c>
      <c r="C40" s="16" t="inlineStr">
        <is>
          <t>Engineer</t>
        </is>
      </c>
      <c r="D40" s="16" t="inlineStr">
        <is>
          <t>BHL INDIA</t>
        </is>
      </c>
    </row>
    <row r="41" ht="15" customHeight="1" s="13">
      <c r="A41" s="16" t="inlineStr">
        <is>
          <t>mayuri.malvankar</t>
        </is>
      </c>
      <c r="B41" s="16" t="inlineStr">
        <is>
          <t>Mayuri Malvankar</t>
        </is>
      </c>
      <c r="C41" s="16" t="inlineStr">
        <is>
          <t>Engineer</t>
        </is>
      </c>
      <c r="D41" s="16" t="inlineStr">
        <is>
          <t>BHL INDIA</t>
        </is>
      </c>
    </row>
    <row r="42" ht="15" customHeight="1" s="13">
      <c r="A42" s="16" t="inlineStr">
        <is>
          <t>md.shaqeel.akhatar</t>
        </is>
      </c>
      <c r="B42" s="16" t="inlineStr">
        <is>
          <t>MD Shaqeel Akhatar</t>
        </is>
      </c>
      <c r="C42" s="16" t="inlineStr">
        <is>
          <t>Engineer</t>
        </is>
      </c>
      <c r="D42" s="16" t="inlineStr">
        <is>
          <t>BHL INDIA</t>
        </is>
      </c>
    </row>
    <row r="43" ht="15" customHeight="1" s="13">
      <c r="A43" s="16" t="inlineStr">
        <is>
          <t>mohammad.husain</t>
        </is>
      </c>
      <c r="B43" s="16" t="inlineStr">
        <is>
          <t>Mohammad Husain</t>
        </is>
      </c>
      <c r="C43" s="16" t="inlineStr">
        <is>
          <t>Engineer</t>
        </is>
      </c>
      <c r="D43" s="16" t="inlineStr">
        <is>
          <t>BHL INDIA</t>
        </is>
      </c>
    </row>
    <row r="44" ht="15" customHeight="1" s="13">
      <c r="A44" s="16" t="inlineStr">
        <is>
          <t>nagesh.ware</t>
        </is>
      </c>
      <c r="B44" s="16" t="inlineStr">
        <is>
          <t>Nagesh Ware</t>
        </is>
      </c>
      <c r="C44" s="16" t="inlineStr">
        <is>
          <t>Engineer</t>
        </is>
      </c>
      <c r="D44" s="16" t="inlineStr">
        <is>
          <t>BHL INDIA</t>
        </is>
      </c>
    </row>
    <row r="45" ht="15" customHeight="1" s="13">
      <c r="A45" s="16" t="inlineStr">
        <is>
          <t>nandkishor.karande</t>
        </is>
      </c>
      <c r="B45" s="16" t="inlineStr">
        <is>
          <t>Nandkishor Karande</t>
        </is>
      </c>
      <c r="C45" s="16" t="inlineStr">
        <is>
          <t>Engineer</t>
        </is>
      </c>
      <c r="D45" s="16" t="inlineStr">
        <is>
          <t>BHL INDIA</t>
        </is>
      </c>
    </row>
    <row r="46" ht="15" customHeight="1" s="13">
      <c r="A46" s="16" t="inlineStr">
        <is>
          <t>niraj.chitte</t>
        </is>
      </c>
      <c r="B46" s="16" t="inlineStr">
        <is>
          <t>Niraj Chitte</t>
        </is>
      </c>
      <c r="C46" s="16" t="inlineStr">
        <is>
          <t>Engineer</t>
        </is>
      </c>
      <c r="D46" s="16" t="inlineStr">
        <is>
          <t>BHL INDIA</t>
        </is>
      </c>
    </row>
    <row r="47" ht="15" customHeight="1" s="13">
      <c r="A47" s="16" t="inlineStr">
        <is>
          <t>niraj.malusare</t>
        </is>
      </c>
      <c r="B47" s="16" t="inlineStr">
        <is>
          <t>Niraj Malusare</t>
        </is>
      </c>
      <c r="C47" s="16" t="inlineStr">
        <is>
          <t>Engineer</t>
        </is>
      </c>
      <c r="D47" s="16" t="inlineStr">
        <is>
          <t>BHL INDIA</t>
        </is>
      </c>
    </row>
    <row r="48" ht="15" customHeight="1" s="13">
      <c r="A48" s="16" t="inlineStr">
        <is>
          <t>nunna.pannagesh</t>
        </is>
      </c>
      <c r="B48" s="16" t="inlineStr">
        <is>
          <t>Nunna Pannagesh</t>
        </is>
      </c>
      <c r="C48" s="16" t="inlineStr">
        <is>
          <t>Engineer</t>
        </is>
      </c>
      <c r="D48" s="16" t="inlineStr">
        <is>
          <t>BHL INDIA</t>
        </is>
      </c>
    </row>
    <row r="49" ht="15" customHeight="1" s="13">
      <c r="A49" s="16" t="inlineStr">
        <is>
          <t>pranit.ninawe</t>
        </is>
      </c>
      <c r="B49" s="16" t="inlineStr">
        <is>
          <t>pranit.ninawe</t>
        </is>
      </c>
      <c r="C49" s="16" t="inlineStr">
        <is>
          <t>Engineer</t>
        </is>
      </c>
      <c r="D49" s="16" t="inlineStr">
        <is>
          <t>BHL INDIA</t>
        </is>
      </c>
    </row>
    <row r="50" ht="15" customHeight="1" s="13">
      <c r="A50" s="16" t="inlineStr">
        <is>
          <t>pratiksha.ramteke</t>
        </is>
      </c>
      <c r="B50" s="16" t="inlineStr">
        <is>
          <t>Pratiksha Ramteke</t>
        </is>
      </c>
      <c r="C50" s="16" t="inlineStr">
        <is>
          <t>Engineer</t>
        </is>
      </c>
      <c r="D50" s="16" t="inlineStr">
        <is>
          <t>BHL INDIA</t>
        </is>
      </c>
    </row>
    <row r="51" ht="15" customHeight="1" s="13">
      <c r="A51" s="16" t="inlineStr">
        <is>
          <t>ram.sameer</t>
        </is>
      </c>
      <c r="B51" s="16" t="inlineStr">
        <is>
          <t>Ram sameer</t>
        </is>
      </c>
      <c r="C51" s="16" t="inlineStr">
        <is>
          <t>Engineer</t>
        </is>
      </c>
      <c r="D51" s="16" t="inlineStr">
        <is>
          <t>BHL INDIA</t>
        </is>
      </c>
    </row>
    <row r="52" ht="15" customHeight="1" s="13">
      <c r="A52" s="16" t="inlineStr">
        <is>
          <t>ravindra.kumbhar</t>
        </is>
      </c>
      <c r="B52" s="16" t="inlineStr">
        <is>
          <t>Ravindra Kumbhar</t>
        </is>
      </c>
      <c r="C52" s="16" t="inlineStr">
        <is>
          <t>Engineer</t>
        </is>
      </c>
      <c r="D52" s="16" t="inlineStr">
        <is>
          <t>BHL INDIA</t>
        </is>
      </c>
    </row>
    <row r="53" ht="15" customHeight="1" s="13">
      <c r="A53" s="16" t="inlineStr">
        <is>
          <t>riya.meshram</t>
        </is>
      </c>
      <c r="B53" s="16" t="inlineStr">
        <is>
          <t>Riya Meshram</t>
        </is>
      </c>
      <c r="C53" s="16" t="inlineStr">
        <is>
          <t>Engineer</t>
        </is>
      </c>
      <c r="D53" s="16" t="inlineStr">
        <is>
          <t>BHL INDIA</t>
        </is>
      </c>
    </row>
    <row r="54" ht="15" customHeight="1" s="13">
      <c r="A54" s="16" t="inlineStr">
        <is>
          <t>rupesh.patil</t>
        </is>
      </c>
      <c r="B54" s="16" t="inlineStr">
        <is>
          <t>Rupesh Patil</t>
        </is>
      </c>
      <c r="C54" s="16" t="inlineStr">
        <is>
          <t>Engineer</t>
        </is>
      </c>
      <c r="D54" s="16" t="inlineStr">
        <is>
          <t>BHL INDIA</t>
        </is>
      </c>
    </row>
    <row r="55" ht="15" customHeight="1" s="13">
      <c r="A55" s="16" t="inlineStr">
        <is>
          <t>sachin.gooli</t>
        </is>
      </c>
      <c r="B55" s="16" t="inlineStr">
        <is>
          <t>Sachin Gooli</t>
        </is>
      </c>
      <c r="C55" s="16" t="inlineStr">
        <is>
          <t>Engineer</t>
        </is>
      </c>
      <c r="D55" s="16" t="inlineStr">
        <is>
          <t>BHL INDIA</t>
        </is>
      </c>
    </row>
    <row r="56" ht="15" customHeight="1" s="13">
      <c r="A56" s="16" t="inlineStr">
        <is>
          <t>sagar.mote</t>
        </is>
      </c>
      <c r="B56" s="16" t="inlineStr">
        <is>
          <t>Sagar Mote</t>
        </is>
      </c>
      <c r="C56" s="16" t="inlineStr">
        <is>
          <t>Engineer</t>
        </is>
      </c>
      <c r="D56" s="16" t="inlineStr">
        <is>
          <t>BHL INDIA</t>
        </is>
      </c>
    </row>
    <row r="57" ht="15" customHeight="1" s="13">
      <c r="A57" s="16" t="inlineStr">
        <is>
          <t>sagar.patil</t>
        </is>
      </c>
      <c r="B57" s="16" t="inlineStr">
        <is>
          <t>Sagar Patil</t>
        </is>
      </c>
      <c r="C57" s="16" t="inlineStr">
        <is>
          <t>Engineer</t>
        </is>
      </c>
      <c r="D57" s="16" t="inlineStr">
        <is>
          <t>BHL INDIA</t>
        </is>
      </c>
    </row>
    <row r="58" ht="15" customHeight="1" s="13">
      <c r="A58" s="16" t="inlineStr">
        <is>
          <t>samir.khanduri</t>
        </is>
      </c>
      <c r="B58" s="16" t="inlineStr">
        <is>
          <t>Samir Khanduri</t>
        </is>
      </c>
      <c r="C58" s="16" t="inlineStr">
        <is>
          <t>Engineer</t>
        </is>
      </c>
      <c r="D58" s="16" t="inlineStr">
        <is>
          <t>BHL INDIA</t>
        </is>
      </c>
    </row>
    <row r="59" ht="15" customHeight="1" s="13">
      <c r="A59" s="16" t="inlineStr">
        <is>
          <t>sandeep.sonavane</t>
        </is>
      </c>
      <c r="B59" s="16" t="inlineStr">
        <is>
          <t>Sandeep Sonavane</t>
        </is>
      </c>
      <c r="C59" s="16" t="inlineStr">
        <is>
          <t>Engineer</t>
        </is>
      </c>
      <c r="D59" s="16" t="inlineStr">
        <is>
          <t>BHL INDIA</t>
        </is>
      </c>
    </row>
    <row r="60" ht="15" customHeight="1" s="13">
      <c r="A60" s="16" t="inlineStr">
        <is>
          <t>sanjeev.kumar</t>
        </is>
      </c>
      <c r="B60" s="16" t="inlineStr">
        <is>
          <t>Sanjeev Kumar</t>
        </is>
      </c>
      <c r="C60" s="16" t="inlineStr">
        <is>
          <t>Engineer</t>
        </is>
      </c>
      <c r="D60" s="16" t="inlineStr">
        <is>
          <t>BHL INDIA</t>
        </is>
      </c>
    </row>
    <row r="61" ht="15" customHeight="1" s="13">
      <c r="A61" s="16" t="inlineStr">
        <is>
          <t>sanket.kshirsagar</t>
        </is>
      </c>
      <c r="B61" s="16" t="inlineStr">
        <is>
          <t>Sanket Kshirsagar</t>
        </is>
      </c>
      <c r="C61" s="16" t="inlineStr">
        <is>
          <t>Engineer</t>
        </is>
      </c>
      <c r="D61" s="16" t="inlineStr">
        <is>
          <t>BHL INDIA</t>
        </is>
      </c>
    </row>
    <row r="62" ht="15" customHeight="1" s="13">
      <c r="A62" s="16" t="inlineStr">
        <is>
          <t>saurabh.kumar</t>
        </is>
      </c>
      <c r="B62" s="16" t="inlineStr">
        <is>
          <t>Saurabh Kumar</t>
        </is>
      </c>
      <c r="C62" s="16" t="inlineStr">
        <is>
          <t>Engineer</t>
        </is>
      </c>
      <c r="D62" s="16" t="inlineStr">
        <is>
          <t>BHL INDIA</t>
        </is>
      </c>
    </row>
    <row r="63" ht="15" customHeight="1" s="13">
      <c r="A63" s="16" t="inlineStr">
        <is>
          <t>saurabh.meshram</t>
        </is>
      </c>
      <c r="B63" s="16" t="inlineStr">
        <is>
          <t>Saurabh meshram</t>
        </is>
      </c>
      <c r="C63" s="16" t="inlineStr">
        <is>
          <t>Engineer</t>
        </is>
      </c>
      <c r="D63" s="16" t="inlineStr">
        <is>
          <t>BHL INDIA</t>
        </is>
      </c>
    </row>
    <row r="64" ht="15" customHeight="1" s="13">
      <c r="A64" s="16" t="inlineStr">
        <is>
          <t>shailesh.pawankar</t>
        </is>
      </c>
      <c r="B64" s="16" t="inlineStr">
        <is>
          <t>Shailesh Pawankar</t>
        </is>
      </c>
      <c r="C64" s="16" t="inlineStr">
        <is>
          <t>Engineer</t>
        </is>
      </c>
      <c r="D64" s="16" t="inlineStr">
        <is>
          <t>BHL INDIA</t>
        </is>
      </c>
    </row>
    <row r="65" ht="15" customHeight="1" s="13">
      <c r="A65" s="16" t="inlineStr">
        <is>
          <t>shital.surwase</t>
        </is>
      </c>
      <c r="B65" s="16" t="inlineStr">
        <is>
          <t>Shital Surwase</t>
        </is>
      </c>
      <c r="C65" s="16" t="inlineStr">
        <is>
          <t>Engineer</t>
        </is>
      </c>
      <c r="D65" s="16" t="inlineStr">
        <is>
          <t>BHL INDIA</t>
        </is>
      </c>
    </row>
    <row r="66" ht="15" customHeight="1" s="13">
      <c r="A66" s="16" t="inlineStr">
        <is>
          <t>shital.suryawanshi</t>
        </is>
      </c>
      <c r="B66" s="16" t="inlineStr">
        <is>
          <t>Shital Suryawanshi</t>
        </is>
      </c>
      <c r="C66" s="16" t="inlineStr">
        <is>
          <t>Engineer</t>
        </is>
      </c>
      <c r="D66" s="16" t="inlineStr">
        <is>
          <t>BHL INDIA</t>
        </is>
      </c>
    </row>
    <row r="67" ht="15" customHeight="1" s="13">
      <c r="A67" s="16" t="inlineStr">
        <is>
          <t>shivam.gupta</t>
        </is>
      </c>
      <c r="B67" s="16" t="inlineStr">
        <is>
          <t>Shivam Gupta</t>
        </is>
      </c>
      <c r="C67" s="16" t="inlineStr">
        <is>
          <t>Engineer</t>
        </is>
      </c>
      <c r="D67" s="16" t="inlineStr">
        <is>
          <t>BHL INDIA</t>
        </is>
      </c>
    </row>
    <row r="68" ht="15" customHeight="1" s="13">
      <c r="A68" s="16" t="inlineStr">
        <is>
          <t>shruti.kedar</t>
        </is>
      </c>
      <c r="B68" s="16" t="inlineStr">
        <is>
          <t>Shruti Kedar</t>
        </is>
      </c>
      <c r="C68" s="16" t="inlineStr">
        <is>
          <t>Engineer</t>
        </is>
      </c>
      <c r="D68" s="16" t="inlineStr">
        <is>
          <t>BHL INDIA</t>
        </is>
      </c>
    </row>
    <row r="69" ht="15" customHeight="1" s="13">
      <c r="A69" s="16" t="inlineStr">
        <is>
          <t>shubham.awandkar</t>
        </is>
      </c>
      <c r="B69" s="16" t="inlineStr">
        <is>
          <t>Shubham  Awandkar</t>
        </is>
      </c>
      <c r="C69" s="16" t="inlineStr">
        <is>
          <t>Engineer</t>
        </is>
      </c>
      <c r="D69" s="16" t="inlineStr">
        <is>
          <t>BHL INDIA</t>
        </is>
      </c>
    </row>
    <row r="70" ht="15" customHeight="1" s="13">
      <c r="A70" s="16" t="inlineStr">
        <is>
          <t>shubham.bhanuse</t>
        </is>
      </c>
      <c r="B70" s="16" t="inlineStr">
        <is>
          <t>Shubham Bhanuse</t>
        </is>
      </c>
      <c r="C70" s="16" t="inlineStr">
        <is>
          <t>Engineer</t>
        </is>
      </c>
      <c r="D70" s="16" t="inlineStr">
        <is>
          <t>BHL INDIA</t>
        </is>
      </c>
    </row>
    <row r="71" ht="15" customHeight="1" s="13">
      <c r="A71" s="16" t="inlineStr">
        <is>
          <t>shubham.bhnause</t>
        </is>
      </c>
      <c r="B71" s="16" t="inlineStr">
        <is>
          <t>Shubham Bhnause</t>
        </is>
      </c>
      <c r="C71" s="16" t="inlineStr">
        <is>
          <t>Engineer</t>
        </is>
      </c>
      <c r="D71" s="16" t="inlineStr">
        <is>
          <t>BHL INDIA</t>
        </is>
      </c>
    </row>
    <row r="72" ht="15" customHeight="1" s="13">
      <c r="A72" s="16" t="inlineStr">
        <is>
          <t>soudamini.chavan</t>
        </is>
      </c>
      <c r="B72" s="16" t="inlineStr">
        <is>
          <t>SOUDAMINI CHAVAN</t>
        </is>
      </c>
      <c r="C72" s="16" t="inlineStr">
        <is>
          <t>Engineer</t>
        </is>
      </c>
      <c r="D72" s="16" t="inlineStr">
        <is>
          <t>BHL INDIA</t>
        </is>
      </c>
    </row>
    <row r="73" ht="15" customHeight="1" s="13">
      <c r="A73" s="16" t="inlineStr">
        <is>
          <t>subham.deo</t>
        </is>
      </c>
      <c r="B73" s="16" t="inlineStr">
        <is>
          <t>Subham Deo</t>
        </is>
      </c>
      <c r="C73" s="16" t="inlineStr">
        <is>
          <t>Engineer</t>
        </is>
      </c>
      <c r="D73" s="16" t="inlineStr">
        <is>
          <t>BHL INDIA</t>
        </is>
      </c>
    </row>
    <row r="74" ht="15" customHeight="1" s="13">
      <c r="A74" s="16" t="inlineStr">
        <is>
          <t>sudhir.sinha</t>
        </is>
      </c>
      <c r="B74" s="16" t="inlineStr">
        <is>
          <t>Sudhir Sinha</t>
        </is>
      </c>
      <c r="C74" s="16" t="inlineStr">
        <is>
          <t>Engineer</t>
        </is>
      </c>
      <c r="D74" s="16" t="inlineStr">
        <is>
          <t>BHL INDIA</t>
        </is>
      </c>
    </row>
    <row r="75" ht="15" customHeight="1" s="13">
      <c r="A75" s="16" t="inlineStr">
        <is>
          <t>sujay.gorde</t>
        </is>
      </c>
      <c r="B75" s="16" t="inlineStr">
        <is>
          <t>Sujay Gorde</t>
        </is>
      </c>
      <c r="C75" s="16" t="inlineStr">
        <is>
          <t>Engineer</t>
        </is>
      </c>
      <c r="D75" s="16" t="inlineStr">
        <is>
          <t>BHL INDIA</t>
        </is>
      </c>
    </row>
    <row r="76" ht="15" customHeight="1" s="13">
      <c r="A76" s="16" t="inlineStr">
        <is>
          <t>supriya.bharne</t>
        </is>
      </c>
      <c r="B76" s="16" t="inlineStr">
        <is>
          <t>Supriya Bharne</t>
        </is>
      </c>
      <c r="C76" s="16" t="inlineStr">
        <is>
          <t>Engineer</t>
        </is>
      </c>
      <c r="D76" s="16" t="inlineStr">
        <is>
          <t>BHL INDIA</t>
        </is>
      </c>
    </row>
    <row r="77" ht="15" customHeight="1" s="13">
      <c r="A77" s="16" t="inlineStr">
        <is>
          <t>supriya.dash</t>
        </is>
      </c>
      <c r="B77" s="16" t="inlineStr">
        <is>
          <t>Supriya Dash</t>
        </is>
      </c>
      <c r="C77" s="16" t="inlineStr">
        <is>
          <t>Engineer</t>
        </is>
      </c>
      <c r="D77" s="16" t="inlineStr">
        <is>
          <t>BHL INDIA</t>
        </is>
      </c>
    </row>
    <row r="78" ht="15" customHeight="1" s="13">
      <c r="A78" s="16" t="inlineStr">
        <is>
          <t>supriya.ghanwat</t>
        </is>
      </c>
      <c r="B78" s="16" t="inlineStr">
        <is>
          <t>Supriya Ghanwat</t>
        </is>
      </c>
      <c r="C78" s="16" t="inlineStr">
        <is>
          <t>Engineer</t>
        </is>
      </c>
      <c r="D78" s="16" t="inlineStr">
        <is>
          <t>BHL INDIA</t>
        </is>
      </c>
    </row>
    <row r="79" ht="15" customHeight="1" s="13">
      <c r="A79" s="16" t="inlineStr">
        <is>
          <t>suraj.patil</t>
        </is>
      </c>
      <c r="B79" s="16" t="inlineStr">
        <is>
          <t>Suraj Patil</t>
        </is>
      </c>
      <c r="C79" s="16" t="inlineStr">
        <is>
          <t>Engineer</t>
        </is>
      </c>
      <c r="D79" s="16" t="inlineStr">
        <is>
          <t>BHL INDIA</t>
        </is>
      </c>
    </row>
    <row r="80" ht="15" customHeight="1" s="13">
      <c r="A80" s="16" t="inlineStr">
        <is>
          <t>suresh.mahajan</t>
        </is>
      </c>
      <c r="B80" s="16" t="inlineStr">
        <is>
          <t>Suresh Mahajan</t>
        </is>
      </c>
      <c r="C80" s="16" t="inlineStr">
        <is>
          <t>Engineer</t>
        </is>
      </c>
      <c r="D80" s="16" t="inlineStr">
        <is>
          <t>BHL INDIA</t>
        </is>
      </c>
    </row>
    <row r="81" ht="15" customHeight="1" s="13">
      <c r="A81" s="16" t="inlineStr">
        <is>
          <t>sushant.kadlag</t>
        </is>
      </c>
      <c r="B81" s="16" t="inlineStr">
        <is>
          <t>Sushant Kadlag</t>
        </is>
      </c>
      <c r="C81" s="16" t="inlineStr">
        <is>
          <t>Engineer</t>
        </is>
      </c>
      <c r="D81" s="16" t="inlineStr">
        <is>
          <t>BHL INDIA</t>
        </is>
      </c>
    </row>
    <row r="82" ht="15" customHeight="1" s="13">
      <c r="A82" s="16" t="inlineStr">
        <is>
          <t>swapnil.balge</t>
        </is>
      </c>
      <c r="B82" s="16" t="inlineStr">
        <is>
          <t>Swapnil Balge</t>
        </is>
      </c>
      <c r="C82" s="16" t="inlineStr">
        <is>
          <t>Engineer</t>
        </is>
      </c>
      <c r="D82" s="16" t="inlineStr">
        <is>
          <t>BHL INDIA</t>
        </is>
      </c>
    </row>
    <row r="83" ht="15" customHeight="1" s="13">
      <c r="A83" s="16" t="inlineStr">
        <is>
          <t>swapnil.gurav</t>
        </is>
      </c>
      <c r="B83" s="16" t="inlineStr">
        <is>
          <t>Swapnil Gurav</t>
        </is>
      </c>
      <c r="C83" s="16" t="inlineStr">
        <is>
          <t>Engineer</t>
        </is>
      </c>
      <c r="D83" s="16" t="inlineStr">
        <is>
          <t>BHL INDIA</t>
        </is>
      </c>
    </row>
    <row r="84" ht="15" customHeight="1" s="13">
      <c r="A84" s="16" t="inlineStr">
        <is>
          <t>tariq.daud</t>
        </is>
      </c>
      <c r="B84" s="16" t="inlineStr">
        <is>
          <t>Tariq Daud</t>
        </is>
      </c>
      <c r="C84" s="16" t="inlineStr">
        <is>
          <t>Engineer</t>
        </is>
      </c>
      <c r="D84" s="16" t="inlineStr">
        <is>
          <t>BHL INDIA</t>
        </is>
      </c>
    </row>
    <row r="85" ht="15" customHeight="1" s="13">
      <c r="A85" s="16" t="inlineStr">
        <is>
          <t>tejash.chaudhari</t>
        </is>
      </c>
      <c r="B85" s="16" t="inlineStr">
        <is>
          <t>Tejash chaudhari</t>
        </is>
      </c>
      <c r="C85" s="16" t="inlineStr">
        <is>
          <t>Engineer</t>
        </is>
      </c>
      <c r="D85" s="16" t="inlineStr">
        <is>
          <t>BHL INDIA</t>
        </is>
      </c>
    </row>
    <row r="86" ht="15" customHeight="1" s="13">
      <c r="A86" s="16" t="inlineStr">
        <is>
          <t>thomas.dangare</t>
        </is>
      </c>
      <c r="B86" s="16" t="inlineStr">
        <is>
          <t>Thomas Dangare</t>
        </is>
      </c>
      <c r="C86" s="16" t="inlineStr">
        <is>
          <t>Engineer</t>
        </is>
      </c>
      <c r="D86" s="16" t="inlineStr">
        <is>
          <t>BHL INDIA</t>
        </is>
      </c>
    </row>
    <row r="87" ht="15" customHeight="1" s="13">
      <c r="A87" s="16" t="inlineStr">
        <is>
          <t>tushar.patole</t>
        </is>
      </c>
      <c r="B87" s="16" t="inlineStr">
        <is>
          <t>Tushar Patole</t>
        </is>
      </c>
      <c r="C87" s="16" t="inlineStr">
        <is>
          <t>Engineer</t>
        </is>
      </c>
      <c r="D87" s="16" t="inlineStr">
        <is>
          <t>BHL INDIA</t>
        </is>
      </c>
    </row>
    <row r="88" ht="15" customHeight="1" s="13">
      <c r="A88" s="16" t="inlineStr">
        <is>
          <t>tushar.patte</t>
        </is>
      </c>
      <c r="B88" s="16" t="inlineStr">
        <is>
          <t>Tushar Patte</t>
        </is>
      </c>
      <c r="C88" s="16" t="inlineStr">
        <is>
          <t>Engineer</t>
        </is>
      </c>
      <c r="D88" s="16" t="inlineStr">
        <is>
          <t>BHL INDIA</t>
        </is>
      </c>
    </row>
    <row r="89" ht="15" customHeight="1" s="13">
      <c r="A89" s="16" t="inlineStr">
        <is>
          <t>udaysingh.pawar</t>
        </is>
      </c>
      <c r="B89" s="16" t="inlineStr">
        <is>
          <t>Udaysingh Pawar</t>
        </is>
      </c>
      <c r="C89" s="16" t="inlineStr">
        <is>
          <t>Engineer</t>
        </is>
      </c>
      <c r="D89" s="16" t="inlineStr">
        <is>
          <t>BHL INDIA</t>
        </is>
      </c>
    </row>
    <row r="90" ht="15" customHeight="1" s="13">
      <c r="A90" s="16" t="inlineStr">
        <is>
          <t>umesh.gakare</t>
        </is>
      </c>
      <c r="B90" s="16" t="inlineStr">
        <is>
          <t>Umesh Gakare</t>
        </is>
      </c>
      <c r="C90" s="16" t="inlineStr">
        <is>
          <t>Engineer</t>
        </is>
      </c>
      <c r="D90" s="16" t="inlineStr">
        <is>
          <t>BHL INDIA</t>
        </is>
      </c>
    </row>
    <row r="91" ht="15" customHeight="1" s="13">
      <c r="A91" s="16" t="inlineStr">
        <is>
          <t>utkarsha.bhalerao</t>
        </is>
      </c>
      <c r="B91" s="16" t="inlineStr">
        <is>
          <t>utkarsha bhalerao</t>
        </is>
      </c>
      <c r="C91" s="16" t="inlineStr">
        <is>
          <t>Engineer</t>
        </is>
      </c>
      <c r="D91" s="16" t="inlineStr">
        <is>
          <t>BHL INDIA</t>
        </is>
      </c>
    </row>
    <row r="92" ht="15" customHeight="1" s="13">
      <c r="A92" s="16" t="inlineStr">
        <is>
          <t>vasant.date</t>
        </is>
      </c>
      <c r="B92" s="16" t="inlineStr">
        <is>
          <t>Vasant Date</t>
        </is>
      </c>
      <c r="C92" s="16" t="inlineStr">
        <is>
          <t>Engineer</t>
        </is>
      </c>
      <c r="D92" s="16" t="inlineStr">
        <is>
          <t>BHL INDIA</t>
        </is>
      </c>
    </row>
    <row r="93" ht="15" customHeight="1" s="13">
      <c r="A93" s="16" t="inlineStr">
        <is>
          <t>vikas.shinde</t>
        </is>
      </c>
      <c r="B93" s="16" t="inlineStr">
        <is>
          <t>Vikas Shinde</t>
        </is>
      </c>
      <c r="C93" s="16" t="inlineStr">
        <is>
          <t>Engineer</t>
        </is>
      </c>
      <c r="D93" s="16" t="inlineStr">
        <is>
          <t>BHL INDIA</t>
        </is>
      </c>
    </row>
    <row r="94" ht="15" customHeight="1" s="13">
      <c r="A94" s="16" t="inlineStr">
        <is>
          <t>vishal.kalugade</t>
        </is>
      </c>
      <c r="B94" s="16" t="inlineStr">
        <is>
          <t>Vishal Kalugade</t>
        </is>
      </c>
      <c r="C94" s="16" t="inlineStr">
        <is>
          <t>Engineer</t>
        </is>
      </c>
      <c r="D94" s="16" t="inlineStr">
        <is>
          <t>BHL INDIA</t>
        </is>
      </c>
    </row>
    <row r="95" ht="15" customHeight="1" s="13">
      <c r="A95" s="16" t="inlineStr">
        <is>
          <t>vishal.kharve</t>
        </is>
      </c>
      <c r="B95" s="16" t="inlineStr">
        <is>
          <t>Vishal Kharve</t>
        </is>
      </c>
      <c r="C95" s="16" t="inlineStr">
        <is>
          <t>Engineer</t>
        </is>
      </c>
      <c r="D95" s="16" t="inlineStr">
        <is>
          <t>BHL INDIA</t>
        </is>
      </c>
    </row>
    <row r="96" ht="15" customHeight="1" s="13">
      <c r="A96" s="16" t="inlineStr">
        <is>
          <t>yedlapalli.netaji</t>
        </is>
      </c>
      <c r="B96" s="16" t="inlineStr">
        <is>
          <t>Yedlapalli Netaji</t>
        </is>
      </c>
      <c r="C96" s="16" t="inlineStr">
        <is>
          <t>Engineer</t>
        </is>
      </c>
      <c r="D96" s="16" t="inlineStr">
        <is>
          <t>BHL INDIA</t>
        </is>
      </c>
    </row>
    <row r="97" ht="15" customHeight="1" s="13">
      <c r="A97" s="16" t="inlineStr">
        <is>
          <t>zeenat.sayyed</t>
        </is>
      </c>
      <c r="B97" s="16" t="inlineStr">
        <is>
          <t>Zeenat Sayyed</t>
        </is>
      </c>
      <c r="C97" s="16" t="inlineStr">
        <is>
          <t>Engineer</t>
        </is>
      </c>
      <c r="D97" s="16" t="inlineStr">
        <is>
          <t>BHL INDIA</t>
        </is>
      </c>
    </row>
    <row r="98" ht="15" customHeight="1" s="13">
      <c r="A98" s="16" t="inlineStr">
        <is>
          <t>hod.eds</t>
        </is>
      </c>
      <c r="B98" s="16" t="inlineStr">
        <is>
          <t>S. Khanduri</t>
        </is>
      </c>
      <c r="C98" s="16" t="inlineStr">
        <is>
          <t>Manager</t>
        </is>
      </c>
      <c r="D98" s="16" t="inlineStr">
        <is>
          <t>EDS</t>
        </is>
      </c>
    </row>
  </sheetData>
  <dataValidations count="1">
    <dataValidation sqref="C2:C397" showDropDown="0" showInputMessage="0" showErrorMessage="0" allowBlank="0" type="list" errorStyle="stop" operator="between">
      <formula1>"Engineer,Lab Admin,Lab Lead,Manager"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24" customWidth="1" style="12" min="2" max="2"/>
    <col width="62" customWidth="1" style="12" min="3" max="3"/>
  </cols>
  <sheetData>
    <row r="1" ht="21.75" customHeight="1" s="13">
      <c r="A1" s="19" t="inlineStr">
        <is>
          <t>Key</t>
        </is>
      </c>
      <c r="B1" s="19" t="inlineStr">
        <is>
          <t>Value</t>
        </is>
      </c>
      <c r="C1" s="19" t="inlineStr">
        <is>
          <t>Notes</t>
        </is>
      </c>
    </row>
    <row r="2" ht="15" customHeight="1" s="13">
      <c r="A2" s="16" t="inlineStr">
        <is>
          <t>LowStockPct_Connector</t>
        </is>
      </c>
      <c r="B2" s="24" t="n">
        <v>25</v>
      </c>
      <c r="C2" s="16" t="inlineStr">
        <is>
          <t>Connector is LOW when this % or less of ReorderRefQty remains</t>
        </is>
      </c>
    </row>
    <row r="3" ht="15" customHeight="1" s="13">
      <c r="A3" s="16" t="inlineStr">
        <is>
          <t>LowStockPct_Terminal</t>
        </is>
      </c>
      <c r="B3" s="24" t="n">
        <v>20</v>
      </c>
      <c r="C3" s="16" t="inlineStr">
        <is>
          <t>Terminal is LOW when this % or less remains</t>
        </is>
      </c>
    </row>
    <row r="4" ht="15" customHeight="1" s="13">
      <c r="A4" s="16" t="inlineStr">
        <is>
          <t>LowStockPct_Default</t>
        </is>
      </c>
      <c r="B4" s="24" t="n">
        <v>20</v>
      </c>
      <c r="C4" s="16" t="inlineStr">
        <is>
          <t>All other categories</t>
        </is>
      </c>
    </row>
    <row r="5" ht="15" customHeight="1" s="13">
      <c r="A5" s="16" t="inlineStr">
        <is>
          <t>ReservationExpiryDays</t>
        </is>
      </c>
      <c r="B5" s="24" t="n">
        <v>14</v>
      </c>
      <c r="C5" s="16" t="inlineStr">
        <is>
          <t>Reserved stock is released back after this many days</t>
        </is>
      </c>
    </row>
    <row r="6" ht="15" customHeight="1" s="13">
      <c r="A6" s="16" t="inlineStr">
        <is>
          <t>AutoRefreshSeconds</t>
        </is>
      </c>
      <c r="B6" s="24" t="n">
        <v>10</v>
      </c>
      <c r="C6" s="16" t="inlineStr">
        <is>
          <t>How often the portal checks this file for changes</t>
        </is>
      </c>
    </row>
    <row r="7" ht="15" customHeight="1" s="13">
      <c r="A7" s="16" t="inlineStr">
        <is>
          <t>OpeningStockCountedOn</t>
        </is>
      </c>
      <c r="B7" s="24" t="n"/>
      <c r="C7" s="16" t="inlineStr">
        <is>
          <t>Fill in the date you physically counted stock</t>
        </is>
      </c>
    </row>
    <row r="8" ht="15" customHeight="1" s="13">
      <c r="A8" s="16" t="inlineStr">
        <is>
          <t>LabName</t>
        </is>
      </c>
      <c r="B8" s="24" t="inlineStr">
        <is>
          <t>JCB EDS Lab, Pune</t>
        </is>
      </c>
      <c r="C8" s="16" t="n"/>
    </row>
    <row r="9" ht="15" customHeight="1" s="13">
      <c r="A9" s="16" t="inlineStr">
        <is>
          <t>SupportContact</t>
        </is>
      </c>
      <c r="B9" s="24" t="n"/>
      <c r="C9" s="16" t="inlineStr">
        <is>
          <t>Who people contact if the portal will not open</t>
        </is>
      </c>
    </row>
    <row r="10" ht="15" customHeight="1" s="13">
      <c r="A10" s="16" t="inlineStr">
        <is>
          <t>HarnessAssemblyCostPerCircuit</t>
        </is>
      </c>
      <c r="B10" s="24" t="n">
        <v>0</v>
      </c>
      <c r="C10" s="16" t="inlineStr">
        <is>
          <t>SAMPLE — fill your real ₹ per circuit assembly rate (see Job Card / BUSINESS DECISION REQUIRED)</t>
        </is>
      </c>
    </row>
    <row r="11" ht="15" customHeight="1" s="13">
      <c r="A11" s="16" t="inlineStr">
        <is>
          <t>TransportCostFlat</t>
        </is>
      </c>
      <c r="B11" s="24" t="n">
        <v>200</v>
      </c>
      <c r="C11" s="16" t="inlineStr">
        <is>
          <t>SAMPLE — flat transport cost added to every Job Card, in INR</t>
        </is>
      </c>
    </row>
    <row r="12" ht="15" customHeight="1" s="13">
      <c r="A12" s="16" t="inlineStr">
        <is>
          <t>PRPOApprovalLevels</t>
        </is>
      </c>
      <c r="B12" s="24" t="n">
        <v>1</v>
      </c>
      <c r="C12" s="16" t="inlineStr">
        <is>
          <t>How many sign-offs a PR/PO needs before Approved. BUSINESS DECISION REQUIRED — set to your real number</t>
        </is>
      </c>
    </row>
    <row r="13">
      <c r="A13" s="12" t="inlineStr">
        <is>
          <t>ExcelPartRows</t>
        </is>
      </c>
      <c r="B13" s="12">
        <f>ROWS(tblParts)</f>
        <v/>
      </c>
      <c r="C13" s="12" t="inlineStr">
        <is>
          <t>Data Health: rows in Parts, counted by Excel. Do not edit.</t>
        </is>
      </c>
    </row>
    <row r="14">
      <c r="A14" s="12" t="inlineStr">
        <is>
          <t>ExcelMovementRows</t>
        </is>
      </c>
      <c r="B14" s="12">
        <f>ROWS(tblMoves)</f>
        <v/>
      </c>
      <c r="C14" s="12" t="inlineStr">
        <is>
          <t>Data Health: rows in Movements, counted by Excel. Do not edit.</t>
        </is>
      </c>
    </row>
    <row r="15">
      <c r="A15" s="12" t="inlineStr">
        <is>
          <t>ExcelStockTotal</t>
        </is>
      </c>
      <c r="B15" s="12">
        <f>SUMPRODUCT((tblMoves[Type]="RECEIPT")+(tblMoves[Type]="RETURN")+(tblMoves[Type]="ADJUST+")-(tblMoves[Type]="ISSUE")-(tblMoves[Type]="SCRAP")-(tblMoves[Type]="ADJUST-"),ABS(tblMoves[Qty]))</f>
        <v/>
      </c>
      <c r="C15" s="12" t="inlineStr">
        <is>
          <t>Data Health: total stock of all parts = signed sum of Movements. Do not edit.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10" customWidth="1" style="12" min="2" max="2"/>
    <col width="30" customWidth="1" style="12" min="3" max="3"/>
    <col width="12" customWidth="1" style="12" min="4" max="4"/>
    <col width="7" customWidth="1" style="12" min="5" max="5"/>
    <col width="12" customWidth="1" style="12" min="6" max="6"/>
    <col width="16" customWidth="1" style="12" min="7" max="8"/>
    <col width="13" customWidth="1" style="12" min="9" max="9"/>
    <col width="14" customWidth="1" style="12" min="10" max="10"/>
    <col width="20" customWidth="1" style="12" min="11" max="11"/>
    <col width="12" customWidth="1" style="12" min="12" max="12"/>
    <col width="16" customWidth="1" style="12" min="13" max="13"/>
    <col width="12" customWidth="1" style="12" min="14" max="14"/>
    <col width="13" customWidth="1" style="12" min="15" max="15"/>
    <col width="30" customWidth="1" style="12" min="16" max="16"/>
    <col width="18" customWidth="1" style="13" min="17" max="17"/>
    <col width="18" customWidth="1" style="13" min="18" max="18"/>
    <col width="18" customWidth="1" style="13" min="19" max="19"/>
    <col width="18" customWidth="1" style="13" min="20" max="20"/>
    <col width="18" customWidth="1" style="13" min="21" max="21"/>
  </cols>
  <sheetData>
    <row r="1" ht="21.75" customHeight="1" s="13">
      <c r="A1" s="19" t="inlineStr">
        <is>
          <t>PRNumber</t>
        </is>
      </c>
      <c r="B1" s="19" t="inlineStr">
        <is>
          <t>Department</t>
        </is>
      </c>
      <c r="C1" s="19" t="inlineStr">
        <is>
          <t>Summary</t>
        </is>
      </c>
      <c r="D1" s="19" t="inlineStr">
        <is>
          <t>ServiceType</t>
        </is>
      </c>
      <c r="E1" s="19" t="inlineStr">
        <is>
          <t>Qty</t>
        </is>
      </c>
      <c r="F1" s="19" t="inlineStr">
        <is>
          <t>DateRaised</t>
        </is>
      </c>
      <c r="G1" s="19" t="inlineStr">
        <is>
          <t>RaisedBy</t>
        </is>
      </c>
      <c r="H1" s="19" t="inlineStr">
        <is>
          <t>ApprovedBy</t>
        </is>
      </c>
      <c r="I1" s="19" t="inlineStr">
        <is>
          <t>ApprovedDate</t>
        </is>
      </c>
      <c r="J1" s="19" t="inlineStr">
        <is>
          <t>PONumber</t>
        </is>
      </c>
      <c r="K1" s="19" t="inlineStr">
        <is>
          <t>Vendor</t>
        </is>
      </c>
      <c r="L1" s="19" t="inlineStr">
        <is>
          <t>POAmount</t>
        </is>
      </c>
      <c r="M1" s="19" t="inlineStr">
        <is>
          <t>Stage</t>
        </is>
      </c>
      <c r="N1" s="19" t="inlineStr">
        <is>
          <t>PODate</t>
        </is>
      </c>
      <c r="O1" s="19" t="inlineStr">
        <is>
          <t>DeliveredDate</t>
        </is>
      </c>
      <c r="P1" s="19" t="inlineStr">
        <is>
          <t>Notes</t>
        </is>
      </c>
      <c r="Q1" s="25" t="inlineStr">
        <is>
          <t>PRAmount</t>
        </is>
      </c>
      <c r="R1" s="25" t="inlineStr">
        <is>
          <t>InvestmentType</t>
        </is>
      </c>
      <c r="S1" s="25" t="inlineStr">
        <is>
          <t>POApprovedDate</t>
        </is>
      </c>
      <c r="T1" s="25" t="inlineStr">
        <is>
          <t>Ownership</t>
        </is>
      </c>
      <c r="U1" s="25" t="inlineStr">
        <is>
          <t>POCopyPath</t>
        </is>
      </c>
    </row>
    <row r="2" ht="15" customHeight="1" s="13">
      <c r="A2" s="16" t="inlineStr">
        <is>
          <t>800011175</t>
        </is>
      </c>
      <c r="B2" s="16" t="inlineStr">
        <is>
          <t>EDS</t>
        </is>
      </c>
      <c r="C2" s="16" t="inlineStr">
        <is>
          <t>32 CHANNEL RELAY</t>
        </is>
      </c>
      <c r="D2" s="16" t="inlineStr">
        <is>
          <t>MATERIAL</t>
        </is>
      </c>
      <c r="E2" s="16" t="n">
        <v>1</v>
      </c>
      <c r="F2" s="20" t="n">
        <v>46027</v>
      </c>
      <c r="G2" s="16" t="n"/>
      <c r="H2" s="16" t="n"/>
      <c r="I2" s="20" t="n"/>
      <c r="J2" s="16" t="n"/>
      <c r="K2" s="16" t="n"/>
      <c r="L2" s="16" t="n"/>
      <c r="M2" s="16" t="inlineStr">
        <is>
          <t>PR RAISED</t>
        </is>
      </c>
      <c r="N2" s="20" t="n"/>
      <c r="O2" s="20" t="n"/>
      <c r="P2" s="16" t="n"/>
    </row>
    <row r="3" ht="15" customHeight="1" s="13">
      <c r="A3" s="16" t="inlineStr">
        <is>
          <t>800011158</t>
        </is>
      </c>
      <c r="B3" s="16" t="inlineStr">
        <is>
          <t>EDS</t>
        </is>
      </c>
      <c r="C3" s="16" t="inlineStr">
        <is>
          <t>GEAR COMPONENTS</t>
        </is>
      </c>
      <c r="D3" s="16" t="inlineStr">
        <is>
          <t>MATERIAL</t>
        </is>
      </c>
      <c r="E3" s="16" t="n">
        <v>1</v>
      </c>
      <c r="F3" s="20" t="n">
        <v>46027</v>
      </c>
      <c r="G3" s="16" t="n"/>
      <c r="H3" s="16" t="n"/>
      <c r="I3" s="20" t="n"/>
      <c r="J3" s="16" t="n"/>
      <c r="K3" s="16" t="n"/>
      <c r="L3" s="16" t="n"/>
      <c r="M3" s="16" t="inlineStr">
        <is>
          <t>PR RAISED</t>
        </is>
      </c>
      <c r="N3" s="20" t="n"/>
      <c r="O3" s="20" t="n"/>
      <c r="P3" s="16" t="n"/>
    </row>
    <row r="4" ht="15" customHeight="1" s="13">
      <c r="A4" s="16" t="inlineStr">
        <is>
          <t>800011128</t>
        </is>
      </c>
      <c r="B4" s="16" t="inlineStr">
        <is>
          <t>EDS</t>
        </is>
      </c>
      <c r="C4" s="16" t="inlineStr">
        <is>
          <t>AUTOMOTIVE TRAINING</t>
        </is>
      </c>
      <c r="D4" s="16" t="inlineStr">
        <is>
          <t>SERVICE</t>
        </is>
      </c>
      <c r="E4" s="16" t="n">
        <v>1</v>
      </c>
      <c r="F4" s="20" t="n">
        <v>46027</v>
      </c>
      <c r="G4" s="16" t="n"/>
      <c r="H4" s="16" t="n"/>
      <c r="I4" s="20" t="n"/>
      <c r="J4" s="16" t="n"/>
      <c r="K4" s="16" t="n"/>
      <c r="L4" s="16" t="n"/>
      <c r="M4" s="16" t="inlineStr">
        <is>
          <t>DELIVERED (CLOSED)</t>
        </is>
      </c>
      <c r="N4" s="20" t="n"/>
      <c r="O4" s="20" t="n"/>
      <c r="P4" s="16" t="n"/>
    </row>
    <row r="5" ht="15" customHeight="1" s="13">
      <c r="A5" s="16" t="inlineStr">
        <is>
          <t>800011096</t>
        </is>
      </c>
      <c r="B5" s="16" t="inlineStr">
        <is>
          <t>EDS</t>
        </is>
      </c>
      <c r="C5" s="16" t="inlineStr">
        <is>
          <t>WIRE WITH BOBBIN</t>
        </is>
      </c>
      <c r="D5" s="16" t="inlineStr">
        <is>
          <t>MATERIAL</t>
        </is>
      </c>
      <c r="E5" s="16" t="n">
        <v>1</v>
      </c>
      <c r="F5" s="20" t="n">
        <v>46027</v>
      </c>
      <c r="G5" s="16" t="n"/>
      <c r="H5" s="16" t="n"/>
      <c r="I5" s="20" t="n"/>
      <c r="J5" s="16" t="n"/>
      <c r="K5" s="16" t="n"/>
      <c r="L5" s="16" t="n"/>
      <c r="M5" s="16" t="inlineStr">
        <is>
          <t>PR RAISED</t>
        </is>
      </c>
      <c r="N5" s="20" t="n"/>
      <c r="O5" s="20" t="n"/>
      <c r="P5" s="16" t="n"/>
    </row>
    <row r="6" ht="15" customHeight="1" s="13">
      <c r="A6" s="16" t="inlineStr">
        <is>
          <t>800011192</t>
        </is>
      </c>
      <c r="B6" s="16" t="inlineStr">
        <is>
          <t>EDS</t>
        </is>
      </c>
      <c r="C6" s="16" t="inlineStr">
        <is>
          <t>CLOTH TAPE</t>
        </is>
      </c>
      <c r="D6" s="16" t="inlineStr">
        <is>
          <t>MATERIAL</t>
        </is>
      </c>
      <c r="E6" s="16" t="n">
        <v>1</v>
      </c>
      <c r="F6" s="20" t="n">
        <v>46027</v>
      </c>
      <c r="G6" s="16" t="n"/>
      <c r="H6" s="16" t="n"/>
      <c r="I6" s="20" t="n"/>
      <c r="J6" s="16" t="n"/>
      <c r="K6" s="16" t="n"/>
      <c r="L6" s="16" t="n"/>
      <c r="M6" s="16" t="inlineStr">
        <is>
          <t>PR RAISED</t>
        </is>
      </c>
      <c r="N6" s="20" t="n"/>
      <c r="O6" s="20" t="n"/>
      <c r="P6" s="16" t="n"/>
    </row>
    <row r="7">
      <c r="A7" s="12" t="inlineStr">
        <is>
          <t>SAMPLE-PR</t>
        </is>
      </c>
      <c r="B7" s="12" t="inlineStr">
        <is>
          <t>SAMPLE</t>
        </is>
      </c>
      <c r="C7" s="12" t="inlineStr">
        <is>
          <t>SAMPLE row (keeps column types)</t>
        </is>
      </c>
      <c r="D7" s="12" t="inlineStr">
        <is>
          <t>MATERIAL</t>
        </is>
      </c>
      <c r="E7" s="12" t="n">
        <v>1</v>
      </c>
      <c r="F7" s="29" t="n">
        <v>46023.5</v>
      </c>
      <c r="G7" s="12" t="inlineStr">
        <is>
          <t>SAMPLE</t>
        </is>
      </c>
      <c r="H7" s="12" t="inlineStr">
        <is>
          <t>SAMPLE</t>
        </is>
      </c>
      <c r="I7" s="29" t="n">
        <v>46023.5</v>
      </c>
      <c r="J7" s="12" t="inlineStr">
        <is>
          <t>SAMPLE-PO</t>
        </is>
      </c>
      <c r="K7" s="12" t="inlineStr">
        <is>
          <t>SAMPLE</t>
        </is>
      </c>
      <c r="L7" s="12" t="n">
        <v>0.5</v>
      </c>
      <c r="M7" s="12" t="inlineStr">
        <is>
          <t>REJECTED</t>
        </is>
      </c>
      <c r="N7" s="29" t="n">
        <v>46023.5</v>
      </c>
      <c r="O7" s="29" t="n">
        <v>46023.5</v>
      </c>
      <c r="P7" s="12" t="inlineStr">
        <is>
          <t>SAMPLE</t>
        </is>
      </c>
      <c r="Q7" s="12" t="n">
        <v>0.5</v>
      </c>
      <c r="R7" s="12" t="inlineStr">
        <is>
          <t>Opex</t>
        </is>
      </c>
      <c r="S7" s="29" t="n">
        <v>46023.5</v>
      </c>
      <c r="T7" s="12" t="inlineStr">
        <is>
          <t>SAMPLE</t>
        </is>
      </c>
      <c r="U7" s="12" t="inlineStr">
        <is>
          <t>SAMPLE</t>
        </is>
      </c>
    </row>
  </sheetData>
  <dataValidations count="2">
    <dataValidation sqref="M2:M505" showDropDown="0" showInputMessage="0" showErrorMessage="0" allowBlank="0" type="list" errorStyle="stop" operator="between">
      <formula1>"PR RAISED,APPROVED,PO RAISED,GRN IN PROGRESS,DELIVERED (CLOSED),REJECTED"</formula1>
      <formula2>0</formula2>
    </dataValidation>
    <dataValidation sqref="D2:D505" showDropDown="0" showInputMessage="0" showErrorMessage="0" allowBlank="1" type="list" errorStyle="stop" operator="between">
      <formula1>"MATERIAL,SERVICE,TOOL,LICENSE,COMPONENTS"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2" min="1" max="1"/>
    <col width="20" customWidth="1" style="12" min="2" max="2"/>
    <col width="18" customWidth="1" style="12" min="3" max="3"/>
    <col width="11" customWidth="1" style="12" min="4" max="5"/>
    <col width="13" customWidth="1" style="12" min="6" max="7"/>
    <col width="14" customWidth="1" style="12" min="8" max="8"/>
    <col width="34" customWidth="1" style="12" min="9" max="9"/>
  </cols>
  <sheetData>
    <row r="1" ht="21.75" customHeight="1" s="13">
      <c r="A1" s="19" t="inlineStr">
        <is>
          <t>SoftwareName</t>
        </is>
      </c>
      <c r="B1" s="19" t="inlineStr">
        <is>
          <t>Vendor</t>
        </is>
      </c>
      <c r="C1" s="19" t="inlineStr">
        <is>
          <t>LicenseType</t>
        </is>
      </c>
      <c r="D1" s="19" t="inlineStr">
        <is>
          <t>SeatsTotal</t>
        </is>
      </c>
      <c r="E1" s="19" t="inlineStr">
        <is>
          <t>SeatsInUse</t>
        </is>
      </c>
      <c r="F1" s="19" t="inlineStr">
        <is>
          <t>ExpiryDate</t>
        </is>
      </c>
      <c r="G1" s="19" t="inlineStr">
        <is>
          <t>AnnualCost</t>
        </is>
      </c>
      <c r="H1" s="19" t="inlineStr">
        <is>
          <t>Status</t>
        </is>
      </c>
      <c r="I1" s="19" t="inlineStr">
        <is>
          <t>Notes</t>
        </is>
      </c>
    </row>
    <row r="2" ht="15" customHeight="1" s="13">
      <c r="A2" s="16" t="inlineStr">
        <is>
          <t>WinCC Professional</t>
        </is>
      </c>
      <c r="B2" s="16" t="inlineStr">
        <is>
          <t>Siemens</t>
        </is>
      </c>
      <c r="C2" s="16" t="inlineStr">
        <is>
          <t>Perpetual + SUS</t>
        </is>
      </c>
      <c r="D2" s="16" t="n">
        <v>4</v>
      </c>
      <c r="E2" s="16" t="n">
        <v>4</v>
      </c>
      <c r="F2" s="20" t="n">
        <v>46182</v>
      </c>
      <c r="G2" s="16" t="n">
        <v>422000</v>
      </c>
      <c r="H2" s="23">
        <f>IF($F2="","",IF($F2&lt;TODAY(),"Expired",IF($F2&lt;=TODAY()+45,"Expiring Soon","Active")))</f>
        <v/>
      </c>
      <c r="I2" s="16" t="inlineStr">
        <is>
          <t>Sample row — SAMPLE, verify against real renewal</t>
        </is>
      </c>
    </row>
    <row r="3" ht="15" customHeight="1" s="13">
      <c r="A3" s="16" t="inlineStr">
        <is>
          <t>EPLAN Electric P8</t>
        </is>
      </c>
      <c r="B3" s="16" t="inlineStr">
        <is>
          <t>EPLAN Software</t>
        </is>
      </c>
      <c r="C3" s="16" t="inlineStr">
        <is>
          <t>Floating</t>
        </is>
      </c>
      <c r="D3" s="16" t="n">
        <v>6</v>
      </c>
      <c r="E3" s="16" t="n">
        <v>4</v>
      </c>
      <c r="F3" s="20" t="n">
        <v>46578</v>
      </c>
      <c r="G3" s="16" t="n">
        <v>339000</v>
      </c>
      <c r="H3" s="23">
        <f>IF($F3="","",IF($F3&lt;TODAY(),"Expired",IF($F3&lt;=TODAY()+45,"Expiring Soon","Active")))</f>
        <v/>
      </c>
      <c r="I3" s="16" t="inlineStr">
        <is>
          <t>Sample row — SAMPLE, verify against real renewal</t>
        </is>
      </c>
    </row>
    <row r="4" ht="15" customHeight="1" s="13">
      <c r="A4" s="16" t="inlineStr">
        <is>
          <t>TIA Portal V18</t>
        </is>
      </c>
      <c r="B4" s="16" t="inlineStr">
        <is>
          <t>Siemens</t>
        </is>
      </c>
      <c r="C4" s="16" t="inlineStr">
        <is>
          <t>Perpetual + SUS</t>
        </is>
      </c>
      <c r="D4" s="16" t="n">
        <v>12</v>
      </c>
      <c r="E4" s="16" t="n">
        <v>6</v>
      </c>
      <c r="F4" s="20" t="n">
        <v>46289</v>
      </c>
      <c r="G4" s="16" t="n">
        <v>236000</v>
      </c>
      <c r="H4" s="23">
        <f>IF($F4="","",IF($F4&lt;TODAY(),"Expired",IF($F4&lt;=TODAY()+45,"Expiring Soon","Active")))</f>
        <v/>
      </c>
      <c r="I4" s="16" t="inlineStr">
        <is>
          <t>Sample row — SAMPLE, verify against real renewal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3" min="1" max="1"/>
    <col width="18" customWidth="1" style="13" min="2" max="2"/>
    <col width="18" customWidth="1" style="13" min="3" max="3"/>
    <col width="18" customWidth="1" style="13" min="4" max="4"/>
    <col width="18" customWidth="1" style="13" min="5" max="5"/>
    <col width="11" customWidth="1" style="13" min="6" max="6"/>
    <col width="30" customWidth="1" style="13" min="7" max="7"/>
    <col width="18" customWidth="1" style="13" min="8" max="8"/>
    <col width="18" customWidth="1" style="13" min="9" max="9"/>
    <col width="28" customWidth="1" style="13" min="10" max="10"/>
    <col width="26" customWidth="1" style="13" min="11" max="11"/>
    <col width="18" customWidth="1" style="13" min="12" max="12"/>
    <col width="18" customWidth="1" style="13" min="13" max="13"/>
    <col width="18" customWidth="1" style="13" min="14" max="14"/>
    <col width="18" customWidth="1" style="13" min="15" max="15"/>
  </cols>
  <sheetData>
    <row r="1">
      <c r="A1" s="26" t="inlineStr">
        <is>
          <t>SrNo</t>
        </is>
      </c>
      <c r="B1" s="26" t="inlineStr">
        <is>
          <t>RequestNo</t>
        </is>
      </c>
      <c r="C1" s="26" t="inlineStr">
        <is>
          <t>RequesterName</t>
        </is>
      </c>
      <c r="D1" s="26" t="inlineStr">
        <is>
          <t>Category</t>
        </is>
      </c>
      <c r="E1" s="26" t="inlineStr">
        <is>
          <t>SubCategory</t>
        </is>
      </c>
      <c r="F1" s="26" t="inlineStr">
        <is>
          <t>PlantCode</t>
        </is>
      </c>
      <c r="G1" s="26" t="inlineStr">
        <is>
          <t>PartName</t>
        </is>
      </c>
      <c r="H1" s="26" t="inlineStr">
        <is>
          <t>MakeBrand</t>
        </is>
      </c>
      <c r="I1" s="26" t="inlineStr">
        <is>
          <t>ModelNo</t>
        </is>
      </c>
      <c r="J1" s="26" t="inlineStr">
        <is>
          <t>OtherSpecs</t>
        </is>
      </c>
      <c r="K1" s="26" t="inlineStr">
        <is>
          <t>Remarks</t>
        </is>
      </c>
      <c r="L1" s="26" t="inlineStr">
        <is>
          <t>UOM</t>
        </is>
      </c>
      <c r="M1" s="26" t="inlineStr">
        <is>
          <t>HSNCode</t>
        </is>
      </c>
      <c r="N1" s="26" t="inlineStr">
        <is>
          <t>Status</t>
        </is>
      </c>
      <c r="O1" s="26" t="inlineStr">
        <is>
          <t>DateRaised</t>
        </is>
      </c>
    </row>
    <row r="2">
      <c r="A2" s="12" t="n">
        <v>1</v>
      </c>
      <c r="B2" s="12" t="inlineStr">
        <is>
          <t>SAMPLE-NPR-00001</t>
        </is>
      </c>
      <c r="C2" s="12" t="inlineStr">
        <is>
          <t>Sample Engineer</t>
        </is>
      </c>
      <c r="D2" s="12" t="inlineStr">
        <is>
          <t>Electrical</t>
        </is>
      </c>
      <c r="E2" s="12" t="inlineStr">
        <is>
          <t>Connector</t>
        </is>
      </c>
      <c r="F2" s="12" t="inlineStr">
        <is>
          <t>SAMPLE-PLANT</t>
        </is>
      </c>
      <c r="G2" s="12" t="inlineStr">
        <is>
          <t>SAMPLE — delete this row</t>
        </is>
      </c>
      <c r="H2" s="12" t="inlineStr">
        <is>
          <t>TE Connectivity</t>
        </is>
      </c>
      <c r="I2" s="12" t="inlineStr">
        <is>
          <t>AMP-1-967640-1</t>
        </is>
      </c>
      <c r="J2" s="12" t="inlineStr">
        <is>
          <t>2 way, black</t>
        </is>
      </c>
      <c r="K2" s="12" t="inlineStr">
        <is>
          <t>Sample row so the tab is never empty</t>
        </is>
      </c>
      <c r="L2" s="12" t="inlineStr">
        <is>
          <t>NO</t>
        </is>
      </c>
      <c r="M2" s="12" t="inlineStr">
        <is>
          <t>SAMPLE-HSN</t>
        </is>
      </c>
      <c r="N2" s="12" t="inlineStr">
        <is>
          <t>DRAFT</t>
        </is>
      </c>
      <c r="O2" s="30" t="n">
        <v>46282.5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3" min="1" max="1"/>
    <col width="18" customWidth="1" style="13" min="2" max="2"/>
    <col width="18" customWidth="1" style="13" min="3" max="3"/>
    <col width="18" customWidth="1" style="13" min="4" max="4"/>
    <col width="18" customWidth="1" style="13" min="5" max="5"/>
    <col width="18" customWidth="1" style="13" min="6" max="6"/>
    <col width="18" customWidth="1" style="13" min="7" max="7"/>
    <col width="30" customWidth="1" style="13" min="8" max="8"/>
    <col width="30" customWidth="1" style="13" min="9" max="9"/>
    <col width="18" customWidth="1" style="13" min="10" max="10"/>
    <col width="18" customWidth="1" style="13" min="11" max="11"/>
    <col width="18" customWidth="1" style="13" min="12" max="12"/>
    <col width="30" customWidth="1" style="13" min="13" max="13"/>
    <col width="30" customWidth="1" style="13" min="14" max="14"/>
    <col width="18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18" customWidth="1" style="13" min="20" max="20"/>
    <col width="18" customWidth="1" style="13" min="21" max="21"/>
    <col width="18" customWidth="1" style="13" min="22" max="22"/>
    <col width="18" customWidth="1" style="13" min="23" max="23"/>
    <col width="18" customWidth="1" style="13" min="24" max="24"/>
    <col width="18" customWidth="1" style="13" min="25" max="25"/>
    <col width="30" customWidth="1" style="13" min="26" max="26"/>
    <col width="18" customWidth="1" style="13" min="27" max="27"/>
    <col width="18" customWidth="1" style="13" min="28" max="28"/>
  </cols>
  <sheetData>
    <row r="1">
      <c r="A1" s="26" t="inlineStr">
        <is>
          <t>InvoiceNo</t>
        </is>
      </c>
      <c r="B1" s="26" t="inlineStr">
        <is>
          <t>InvoiceDate</t>
        </is>
      </c>
      <c r="C1" s="26" t="inlineStr">
        <is>
          <t>ToName</t>
        </is>
      </c>
      <c r="D1" s="26" t="inlineStr">
        <is>
          <t>CCName</t>
        </is>
      </c>
      <c r="E1" s="26" t="inlineStr">
        <is>
          <t>FromName</t>
        </is>
      </c>
      <c r="F1" s="26" t="inlineStr">
        <is>
          <t>FromExt</t>
        </is>
      </c>
      <c r="G1" s="26" t="inlineStr">
        <is>
          <t>FromMobile</t>
        </is>
      </c>
      <c r="H1" s="26" t="inlineStr">
        <is>
          <t>HarnessPartNos</t>
        </is>
      </c>
      <c r="I1" s="26" t="inlineStr">
        <is>
          <t>JobDescription</t>
        </is>
      </c>
      <c r="J1" s="26" t="inlineStr">
        <is>
          <t>BusinessUnit</t>
        </is>
      </c>
      <c r="K1" s="26" t="inlineStr">
        <is>
          <t>BUContact</t>
        </is>
      </c>
      <c r="L1" s="26" t="inlineStr">
        <is>
          <t>CostCentre</t>
        </is>
      </c>
      <c r="M1" s="26" t="inlineStr">
        <is>
          <t>ApplicationDesc</t>
        </is>
      </c>
      <c r="N1" s="26" t="inlineStr">
        <is>
          <t>DetailsOfRequest</t>
        </is>
      </c>
      <c r="O1" s="26" t="inlineStr">
        <is>
          <t>NoOfCircuits</t>
        </is>
      </c>
      <c r="P1" s="26" t="inlineStr">
        <is>
          <t>DCContact</t>
        </is>
      </c>
      <c r="Q1" s="26" t="inlineStr">
        <is>
          <t>DCMobile</t>
        </is>
      </c>
      <c r="R1" s="26" t="inlineStr">
        <is>
          <t>JobReceived</t>
        </is>
      </c>
      <c r="S1" s="26" t="inlineStr">
        <is>
          <t>StartDate</t>
        </is>
      </c>
      <c r="T1" s="26" t="inlineStr">
        <is>
          <t>CompletionDate</t>
        </is>
      </c>
      <c r="U1" s="26" t="inlineStr">
        <is>
          <t>MaterialCost</t>
        </is>
      </c>
      <c r="V1" s="26" t="inlineStr">
        <is>
          <t>AssemblyCost</t>
        </is>
      </c>
      <c r="W1" s="26" t="inlineStr">
        <is>
          <t>TransportCost</t>
        </is>
      </c>
      <c r="X1" s="26" t="inlineStr">
        <is>
          <t>TotalCost</t>
        </is>
      </c>
      <c r="Y1" s="26" t="inlineStr">
        <is>
          <t>RefRequest</t>
        </is>
      </c>
      <c r="Z1" s="26" t="inlineStr">
        <is>
          <t>ImagePath</t>
        </is>
      </c>
      <c r="AA1" s="26" t="inlineStr">
        <is>
          <t>Status</t>
        </is>
      </c>
      <c r="AB1" s="26" t="inlineStr">
        <is>
          <t>Notes</t>
        </is>
      </c>
    </row>
    <row r="2">
      <c r="A2" s="12" t="inlineStr">
        <is>
          <t>SAMPLE-INV</t>
        </is>
      </c>
      <c r="B2" s="29" t="n">
        <v>46023.5</v>
      </c>
      <c r="C2" s="12" t="inlineStr">
        <is>
          <t>SAMPLE</t>
        </is>
      </c>
      <c r="D2" s="12" t="inlineStr">
        <is>
          <t>SAMPLE</t>
        </is>
      </c>
      <c r="E2" s="12" t="inlineStr">
        <is>
          <t>SAMPLE</t>
        </is>
      </c>
      <c r="F2" s="12" t="inlineStr">
        <is>
          <t>SAMPLE</t>
        </is>
      </c>
      <c r="G2" s="12" t="inlineStr">
        <is>
          <t>SAMPLE</t>
        </is>
      </c>
      <c r="H2" s="12" t="inlineStr">
        <is>
          <t>SAMPLE</t>
        </is>
      </c>
      <c r="I2" s="12" t="inlineStr">
        <is>
          <t>SAMPLE</t>
        </is>
      </c>
      <c r="J2" s="12" t="inlineStr">
        <is>
          <t>SAMPLE</t>
        </is>
      </c>
      <c r="K2" s="12" t="inlineStr">
        <is>
          <t>SAMPLE</t>
        </is>
      </c>
      <c r="L2" s="12" t="inlineStr">
        <is>
          <t>SAMPLE</t>
        </is>
      </c>
      <c r="M2" s="12" t="inlineStr">
        <is>
          <t>SAMPLE</t>
        </is>
      </c>
      <c r="N2" s="12" t="inlineStr">
        <is>
          <t>SAMPLE row (keeps column types)</t>
        </is>
      </c>
      <c r="O2" s="12" t="n">
        <v>1</v>
      </c>
      <c r="P2" s="12" t="inlineStr">
        <is>
          <t>SAMPLE</t>
        </is>
      </c>
      <c r="Q2" s="12" t="inlineStr">
        <is>
          <t>SAMPLE</t>
        </is>
      </c>
      <c r="R2" s="29" t="n">
        <v>46023.5</v>
      </c>
      <c r="S2" s="29" t="n">
        <v>46023.5</v>
      </c>
      <c r="T2" s="29" t="n">
        <v>46023.5</v>
      </c>
      <c r="U2" s="12" t="n">
        <v>0.5</v>
      </c>
      <c r="V2" s="12" t="n">
        <v>0.5</v>
      </c>
      <c r="W2" s="12" t="n">
        <v>200.5</v>
      </c>
      <c r="X2" s="12" t="n">
        <v>1.5</v>
      </c>
      <c r="Y2" s="12" t="inlineStr">
        <is>
          <t>SAMPLE</t>
        </is>
      </c>
      <c r="Z2" s="12" t="inlineStr">
        <is>
          <t>SAMPLE</t>
        </is>
      </c>
      <c r="AA2" s="12" t="inlineStr">
        <is>
          <t>SAMPLE</t>
        </is>
      </c>
      <c r="AB2" s="12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3" min="1" max="1"/>
    <col width="30" customWidth="1" style="13" min="2" max="2"/>
    <col width="18" customWidth="1" style="13" min="3" max="3"/>
    <col width="18" customWidth="1" style="13" min="4" max="4"/>
    <col width="18" customWidth="1" style="13" min="5" max="5"/>
    <col width="18" customWidth="1" style="13" min="6" max="6"/>
    <col width="18" customWidth="1" style="13" min="7" max="7"/>
    <col width="18" customWidth="1" style="13" min="8" max="8"/>
    <col width="24" customWidth="1" style="13" min="9" max="9"/>
    <col width="18" customWidth="1" style="13" min="10" max="10"/>
    <col width="18" customWidth="1" style="13" min="11" max="11"/>
    <col width="18" customWidth="1" style="13" min="12" max="12"/>
    <col width="26" customWidth="1" style="13" min="13" max="13"/>
  </cols>
  <sheetData>
    <row r="1">
      <c r="A1" s="26" t="inlineStr">
        <is>
          <t>PartNo</t>
        </is>
      </c>
      <c r="B1" s="26" t="inlineStr">
        <is>
          <t>Description</t>
        </is>
      </c>
      <c r="C1" s="26" t="inlineStr">
        <is>
          <t>QtyRequired</t>
        </is>
      </c>
      <c r="D1" s="26" t="inlineStr">
        <is>
          <t>QtyConfirmed</t>
        </is>
      </c>
      <c r="E1" s="26" t="inlineStr">
        <is>
          <t>RequestNo</t>
        </is>
      </c>
      <c r="F1" s="26" t="inlineStr">
        <is>
          <t>RaisedBy</t>
        </is>
      </c>
      <c r="G1" s="26" t="inlineStr">
        <is>
          <t>PRNumber</t>
        </is>
      </c>
      <c r="H1" s="26" t="inlineStr">
        <is>
          <t>SupplierNo</t>
        </is>
      </c>
      <c r="I1" s="26" t="inlineStr">
        <is>
          <t>SupplierName</t>
        </is>
      </c>
      <c r="J1" s="26" t="inlineStr">
        <is>
          <t>Stage</t>
        </is>
      </c>
      <c r="K1" s="26" t="inlineStr">
        <is>
          <t>DateRaised</t>
        </is>
      </c>
      <c r="L1" s="26" t="inlineStr">
        <is>
          <t>ExpectedDate</t>
        </is>
      </c>
      <c r="M1" s="26" t="inlineStr">
        <is>
          <t>Notes</t>
        </is>
      </c>
    </row>
    <row r="2">
      <c r="A2" s="12" t="inlineStr">
        <is>
          <t>SAMPLE</t>
        </is>
      </c>
      <c r="B2" s="12" t="inlineStr">
        <is>
          <t>SAMPLE row (keeps column types)</t>
        </is>
      </c>
      <c r="C2" s="12" t="n">
        <v>1.5</v>
      </c>
      <c r="D2" s="12" t="n">
        <v>0.5</v>
      </c>
      <c r="E2" s="12" t="inlineStr">
        <is>
          <t>SAMPLE</t>
        </is>
      </c>
      <c r="F2" s="12" t="inlineStr">
        <is>
          <t>SAMPLE</t>
        </is>
      </c>
      <c r="G2" s="12" t="inlineStr">
        <is>
          <t>SAMPLE-PR</t>
        </is>
      </c>
      <c r="H2" s="12" t="inlineStr">
        <is>
          <t>SAMPLE</t>
        </is>
      </c>
      <c r="I2" s="12" t="inlineStr">
        <is>
          <t>SAMPLE</t>
        </is>
      </c>
      <c r="J2" s="12" t="inlineStr">
        <is>
          <t>RECEIVED</t>
        </is>
      </c>
      <c r="K2" s="29" t="n">
        <v>46023.5</v>
      </c>
      <c r="L2" s="29" t="n">
        <v>46023.5</v>
      </c>
      <c r="M2" s="12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3" min="1" max="1"/>
    <col width="30" customWidth="1" style="13" min="2" max="2"/>
    <col width="18" customWidth="1" style="13" min="3" max="3"/>
    <col width="18" customWidth="1" style="13" min="4" max="4"/>
    <col width="18" customWidth="1" style="13" min="5" max="5"/>
    <col width="18" customWidth="1" style="13" min="6" max="6"/>
    <col width="18" customWidth="1" style="13" min="7" max="7"/>
    <col width="18" customWidth="1" style="13" min="8" max="8"/>
    <col width="26" customWidth="1" style="13" min="9" max="9"/>
  </cols>
  <sheetData>
    <row r="1">
      <c r="A1" s="26" t="inlineStr">
        <is>
          <t>AssetNo</t>
        </is>
      </c>
      <c r="B1" s="26" t="inlineStr">
        <is>
          <t>AssetName</t>
        </is>
      </c>
      <c r="C1" s="26" t="inlineStr">
        <is>
          <t>Location</t>
        </is>
      </c>
      <c r="D1" s="26" t="inlineStr">
        <is>
          <t>LastCalDate</t>
        </is>
      </c>
      <c r="E1" s="26" t="inlineStr">
        <is>
          <t>IntervalMonths</t>
        </is>
      </c>
      <c r="F1" s="26" t="inlineStr">
        <is>
          <t>DueDate</t>
        </is>
      </c>
      <c r="G1" s="26" t="inlineStr">
        <is>
          <t>Owner</t>
        </is>
      </c>
      <c r="H1" s="26" t="inlineStr">
        <is>
          <t>Status</t>
        </is>
      </c>
      <c r="I1" s="26" t="inlineStr">
        <is>
          <t>Notes</t>
        </is>
      </c>
    </row>
    <row r="2">
      <c r="A2" s="12" t="inlineStr">
        <is>
          <t>SAMPLE</t>
        </is>
      </c>
      <c r="B2" s="12" t="inlineStr">
        <is>
          <t>SAMPLE row (keeps column types)</t>
        </is>
      </c>
      <c r="C2" s="12" t="inlineStr">
        <is>
          <t>SAMPLE</t>
        </is>
      </c>
      <c r="D2" s="29" t="n">
        <v>46023.5</v>
      </c>
      <c r="E2" s="12" t="n">
        <v>12</v>
      </c>
      <c r="F2" s="29" t="n">
        <v>46023.5</v>
      </c>
      <c r="G2" s="12" t="inlineStr">
        <is>
          <t>SAMPLE</t>
        </is>
      </c>
      <c r="H2" s="12" t="inlineStr">
        <is>
          <t>SAMPLE</t>
        </is>
      </c>
      <c r="I2" s="12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3" min="1" max="1"/>
    <col width="16" customWidth="1" style="13" min="2" max="2"/>
    <col width="16" customWidth="1" style="13" min="3" max="3"/>
    <col width="24" customWidth="1" style="13" min="4" max="4"/>
    <col width="20" customWidth="1" style="13" min="5" max="5"/>
    <col width="16" customWidth="1" style="13" min="6" max="6"/>
    <col width="16" customWidth="1" style="13" min="7" max="7"/>
    <col width="16" customWidth="1" style="13" min="8" max="8"/>
    <col width="16" customWidth="1" style="13" min="9" max="9"/>
    <col width="16" customWidth="1" style="13" min="10" max="10"/>
    <col width="16" customWidth="1" style="13" min="11" max="11"/>
    <col width="16" customWidth="1" style="13" min="12" max="12"/>
    <col width="16" customWidth="1" style="13" min="13" max="13"/>
    <col width="16" customWidth="1" style="13" min="14" max="14"/>
    <col width="16" customWidth="1" style="13" min="15" max="15"/>
    <col width="16" customWidth="1" style="13" min="16" max="16"/>
    <col width="46" customWidth="1" style="13" min="17" max="17"/>
    <col width="16" customWidth="1" style="13" min="18" max="18"/>
    <col width="16" customWidth="1" style="13" min="19" max="19"/>
    <col width="16" customWidth="1" style="13" min="20" max="20"/>
    <col width="22" customWidth="1" style="13" min="21" max="21"/>
  </cols>
  <sheetData>
    <row r="1">
      <c r="A1" s="26" t="inlineStr">
        <is>
          <t>RequestNo</t>
        </is>
      </c>
      <c r="B1" s="26" t="inlineStr">
        <is>
          <t>Kind</t>
        </is>
      </c>
      <c r="C1" s="26" t="inlineStr">
        <is>
          <t>Status</t>
        </is>
      </c>
      <c r="D1" s="26" t="inlineStr">
        <is>
          <t>RaisedByEmail</t>
        </is>
      </c>
      <c r="E1" s="26" t="inlineStr">
        <is>
          <t>RaisedByName</t>
        </is>
      </c>
      <c r="F1" s="26" t="inlineStr">
        <is>
          <t>DateRaised</t>
        </is>
      </c>
      <c r="G1" s="26" t="inlineStr">
        <is>
          <t>Machine</t>
        </is>
      </c>
      <c r="H1" s="26" t="inlineStr">
        <is>
          <t>ProjectCode</t>
        </is>
      </c>
      <c r="I1" s="26" t="inlineStr">
        <is>
          <t>HarnessPartNo</t>
        </is>
      </c>
      <c r="J1" s="26" t="inlineStr">
        <is>
          <t>BuildStage</t>
        </is>
      </c>
      <c r="K1" s="26" t="inlineStr">
        <is>
          <t>BusinessUnit</t>
        </is>
      </c>
      <c r="L1" s="26" t="inlineStr">
        <is>
          <t>CostCentre</t>
        </is>
      </c>
      <c r="M1" s="26" t="inlineStr">
        <is>
          <t>BUContact</t>
        </is>
      </c>
      <c r="N1" s="26" t="inlineStr">
        <is>
          <t>DCContact</t>
        </is>
      </c>
      <c r="O1" s="26" t="inlineStr">
        <is>
          <t>NoOfCircuits</t>
        </is>
      </c>
      <c r="P1" s="26" t="inlineStr">
        <is>
          <t>RequiredBy</t>
        </is>
      </c>
      <c r="Q1" s="26" t="inlineStr">
        <is>
          <t>ScopeOfWork</t>
        </is>
      </c>
      <c r="R1" s="26" t="inlineStr">
        <is>
          <t>ParentRequest</t>
        </is>
      </c>
      <c r="S1" s="26" t="inlineStr">
        <is>
          <t>LastUpdated</t>
        </is>
      </c>
      <c r="T1" s="26" t="inlineStr">
        <is>
          <t>LastUpdatedBy</t>
        </is>
      </c>
      <c r="U1" s="25" t="inlineStr">
        <is>
          <t>History</t>
        </is>
      </c>
    </row>
    <row r="2">
      <c r="A2" s="12" t="inlineStr">
        <is>
          <t>SAMPLE-REQ-00000</t>
        </is>
      </c>
      <c r="B2" s="12" t="inlineStr">
        <is>
          <t>SAMPLE</t>
        </is>
      </c>
      <c r="C2" s="12" t="inlineStr">
        <is>
          <t>COMPLETED</t>
        </is>
      </c>
      <c r="D2" s="12" t="inlineStr">
        <is>
          <t>sample@jcb.com</t>
        </is>
      </c>
      <c r="E2" s="12" t="inlineStr">
        <is>
          <t>SAMPLE row (keeps column types)</t>
        </is>
      </c>
      <c r="F2" s="29" t="n">
        <v>46023.5</v>
      </c>
      <c r="G2" s="12" t="inlineStr">
        <is>
          <t>SAMPLE</t>
        </is>
      </c>
      <c r="H2" s="12" t="inlineStr">
        <is>
          <t>SAMPLE</t>
        </is>
      </c>
      <c r="I2" s="12" t="inlineStr">
        <is>
          <t>SAMPLE</t>
        </is>
      </c>
      <c r="J2" s="12" t="inlineStr">
        <is>
          <t>Proto</t>
        </is>
      </c>
      <c r="K2" s="12" t="inlineStr">
        <is>
          <t>SAMPLE</t>
        </is>
      </c>
      <c r="L2" s="12" t="inlineStr">
        <is>
          <t>SAMPLE</t>
        </is>
      </c>
      <c r="M2" s="12" t="inlineStr">
        <is>
          <t>SAMPLE</t>
        </is>
      </c>
      <c r="N2" s="12" t="inlineStr">
        <is>
          <t>SAMPLE</t>
        </is>
      </c>
      <c r="O2" s="12" t="n">
        <v>1</v>
      </c>
      <c r="P2" s="29" t="n">
        <v>46023.5</v>
      </c>
      <c r="Q2" s="12" t="inlineStr">
        <is>
          <t>SAMPLE row - Power Apps ignores rows whose key starts with SAMPLE. Do not delete.</t>
        </is>
      </c>
      <c r="R2" s="12" t="inlineStr">
        <is>
          <t>SAMPLE</t>
        </is>
      </c>
      <c r="S2" s="12" t="inlineStr">
        <is>
          <t>2026-01-01T12:00:00</t>
        </is>
      </c>
      <c r="T2" s="12" t="inlineStr">
        <is>
          <t>SAMPLE</t>
        </is>
      </c>
      <c r="U2" s="12" t="inlineStr">
        <is>
          <t>[]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3" min="1" max="1"/>
    <col width="16" customWidth="1" style="13" min="2" max="2"/>
    <col width="16" customWidth="1" style="13" min="3" max="3"/>
    <col width="38" customWidth="1" style="13" min="4" max="4"/>
    <col width="16" customWidth="1" style="13" min="5" max="5"/>
    <col width="16" customWidth="1" style="13" min="6" max="6"/>
    <col width="16" customWidth="1" style="13" min="7" max="7"/>
    <col width="16" customWidth="1" style="13" min="8" max="8"/>
    <col width="16" customWidth="1" style="13" min="9" max="9"/>
    <col width="16" customWidth="1" style="13" min="10" max="10"/>
    <col width="16" customWidth="1" style="13" min="11" max="11"/>
    <col width="26" customWidth="1" style="13" min="12" max="12"/>
  </cols>
  <sheetData>
    <row r="1">
      <c r="A1" s="26" t="inlineStr">
        <is>
          <t>RequestNo</t>
        </is>
      </c>
      <c r="B1" s="26" t="inlineStr">
        <is>
          <t>Sr</t>
        </is>
      </c>
      <c r="C1" s="26" t="inlineStr">
        <is>
          <t>PartNo</t>
        </is>
      </c>
      <c r="D1" s="26" t="inlineStr">
        <is>
          <t>Description</t>
        </is>
      </c>
      <c r="E1" s="26" t="inlineStr">
        <is>
          <t>QtyRequested</t>
        </is>
      </c>
      <c r="F1" s="26" t="inlineStr">
        <is>
          <t>QtyReserved</t>
        </is>
      </c>
      <c r="G1" s="26" t="inlineStr">
        <is>
          <t>QtyReleased</t>
        </is>
      </c>
      <c r="H1" s="26" t="inlineStr">
        <is>
          <t>UOM</t>
        </is>
      </c>
      <c r="I1" s="26" t="inlineStr">
        <is>
          <t>LineStatus</t>
        </is>
      </c>
      <c r="J1" s="26" t="inlineStr">
        <is>
          <t>UnitCost</t>
        </is>
      </c>
      <c r="K1" s="26" t="inlineStr">
        <is>
          <t>StoreLocation</t>
        </is>
      </c>
      <c r="L1" s="26" t="inlineStr">
        <is>
          <t>Remarks</t>
        </is>
      </c>
    </row>
    <row r="2">
      <c r="A2" s="12" t="inlineStr">
        <is>
          <t>SAMPLE-REQ-00000</t>
        </is>
      </c>
      <c r="B2" s="12" t="n">
        <v>1</v>
      </c>
      <c r="C2" s="12" t="inlineStr">
        <is>
          <t>SAMPLE</t>
        </is>
      </c>
      <c r="D2" s="12" t="inlineStr">
        <is>
          <t>SAMPLE row (keeps column types)</t>
        </is>
      </c>
      <c r="E2" s="12" t="n">
        <v>1.5</v>
      </c>
      <c r="F2" s="12" t="n">
        <v>0.5</v>
      </c>
      <c r="G2" s="12" t="n">
        <v>0.5</v>
      </c>
      <c r="H2" s="12" t="inlineStr">
        <is>
          <t>NO</t>
        </is>
      </c>
      <c r="I2" s="12" t="inlineStr">
        <is>
          <t>COMPLETED</t>
        </is>
      </c>
      <c r="J2" s="12" t="n">
        <v>0.5</v>
      </c>
      <c r="K2" s="12" t="inlineStr">
        <is>
          <t>SAMPLE</t>
        </is>
      </c>
      <c r="L2" s="12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120" customWidth="1" style="13" min="2" max="2"/>
  </cols>
  <sheetData>
    <row r="1">
      <c r="B1" s="12" t="inlineStr">
        <is>
          <t>THIS COPY IS FOR THE POWER APPS VERSION OF THE PORTAL</t>
        </is>
      </c>
    </row>
    <row r="2">
      <c r="B2" s="12" t="inlineStr"/>
    </row>
    <row r="3">
      <c r="B3" s="12" t="inlineStr">
        <is>
          <t>Keep it on OneDrive for Business or a SharePoint document library. Power Apps reads and writes it through the</t>
        </is>
      </c>
    </row>
    <row r="4">
      <c r="B4" s="12" t="inlineStr">
        <is>
          <t>Excel Online (Business) connector. It is a separate file from the one the HTA uses on the lab PC.</t>
        </is>
      </c>
    </row>
    <row r="5">
      <c r="B5" s="12" t="inlineStr"/>
    </row>
    <row r="6">
      <c r="B6" s="12" t="inlineStr">
        <is>
          <t>Rows whose first column starts with SAMPLE are there on purpose: Power Apps works out whether a column holds</t>
        </is>
      </c>
    </row>
    <row r="7">
      <c r="B7" s="12" t="inlineStr">
        <is>
          <t>text, numbers or dates from the data in it, and an empty table makes every column text. The app ignores</t>
        </is>
      </c>
    </row>
    <row r="8">
      <c r="B8" s="12" t="inlineStr">
        <is>
          <t>every SAMPLE row. Leave them in.</t>
        </is>
      </c>
    </row>
    <row r="9">
      <c r="B9" s="12" t="inlineStr"/>
    </row>
    <row r="10">
      <c r="B10" s="12" t="inlineStr">
        <is>
          <t>Users has an extra Email column on the right. Leave it blank if each person's Username is the part of their</t>
        </is>
      </c>
    </row>
    <row r="11">
      <c r="B11" s="12" t="inlineStr">
        <is>
          <t>email address before the @ (gaurav.shelke for gaurav.shelke@jcb.com). Fill it only when that is not true.</t>
        </is>
      </c>
    </row>
    <row r="12">
      <c r="B12" s="12" t="inlineStr"/>
    </row>
    <row r="13">
      <c r="B13" s="12" t="inlineStr">
        <is>
          <t>When Power Apps first connects it adds a hidden __PowerAppsId__ column to each table. That is normal.</t>
        </is>
      </c>
    </row>
    <row r="14"/>
    <row r="15">
      <c r="B15" s="12" t="inlineStr">
        <is>
          <t>ROLES: one person can hold several roles. Write them in the Role cell separated by commas, for example</t>
        </is>
      </c>
    </row>
    <row r="16">
      <c r="B16" s="12" t="inlineStr">
        <is>
          <t>'Engineer, Manager'. The first one is the usual role. Lab Lead and Lab Admin can view every role.</t>
        </is>
      </c>
    </row>
    <row r="17">
      <c r="B17" s="12" t="inlineStr"/>
    </row>
    <row r="18">
      <c r="B18" s="12" t="inlineStr">
        <is>
          <t>DATA HEALTH: the three Excel* rows at the bottom of Settings are formulas. Leave them; the app compares them</t>
        </is>
      </c>
    </row>
    <row r="19">
      <c r="B19" s="12" t="inlineStr">
        <is>
          <t>with what it read (About &gt; Data Health).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2026-09-12T12:42:49Z</dcterms:created>
  <dcterms:modified xsi:type="dcterms:W3CDTF">2026-10-06T14:05:58Z</dcterms:modified>
  <cp:revision>0</cp:revision>
</cp:coreProperties>
</file>